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I Queries" sheetId="2" state="visible" r:id="rId2"/>
    <sheet name="Regex Library" sheetId="3" state="visible" r:id="rId3"/>
    <sheet name="Topic Clusters" sheetId="4" state="visible" r:id="rId4"/>
    <sheet name="Opportunities" sheetId="5" state="visible" r:id="rId5"/>
    <sheet name="Optimization Plan" sheetId="6" state="visible" r:id="rId6"/>
    <sheet name="AI Visibility Plan" sheetId="7" state="visible" r:id="rId7"/>
    <sheet name="Method &amp; Notes" sheetId="8" state="visible" r:id="rId8"/>
  </sheets>
  <definedNames>
    <definedName name="_xlnm._FilterDatabase" localSheetId="1" hidden="1">'AI Queries'!$A$1:$R$59</definedName>
    <definedName name="_xlnm._FilterDatabase" localSheetId="2" hidden="1">'Regex Library'!$A$4:$J$15</definedName>
    <definedName name="_xlnm._FilterDatabase" localSheetId="3" hidden="1">'Topic Clusters'!$A$1:$O$11</definedName>
    <definedName name="_xlnm._FilterDatabase" localSheetId="4" hidden="1">'Opportunities'!$A$1:$N$51</definedName>
    <definedName name="_xlnm._FilterDatabase" localSheetId="5" hidden="1">'Optimization Plan'!$A$1:$P$11</definedName>
    <definedName name="_xlnm._FilterDatabase" localSheetId="6" hidden="1">'AI Visibility Plan'!$A$4:$I$14</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12">
    <font>
      <name val="Calibri"/>
      <family val="2"/>
      <color theme="1"/>
      <sz val="11"/>
      <scheme val="minor"/>
    </font>
    <font>
      <b val="1"/>
      <color rgb="00FFFFFF"/>
      <sz val="10"/>
    </font>
    <font>
      <color rgb="001F2937"/>
      <sz val="10"/>
    </font>
    <font>
      <b val="1"/>
      <color rgb="001F2937"/>
      <sz val="10"/>
    </font>
    <font>
      <b val="1"/>
      <color rgb="000D1730"/>
      <sz val="16"/>
    </font>
    <font>
      <color rgb="006B7280"/>
      <sz val="10"/>
    </font>
    <font>
      <name val="Consolas"/>
      <color rgb="001F2937"/>
      <sz val="9"/>
    </font>
    <font>
      <b val="1"/>
      <color rgb="000D1730"/>
      <sz val="10"/>
    </font>
    <font>
      <name val="Consolas"/>
      <b val="1"/>
      <color rgb="000D1730"/>
      <sz val="10"/>
    </font>
    <font>
      <b val="1"/>
      <color rgb="000D1730"/>
      <sz val="12"/>
    </font>
    <font>
      <b val="1"/>
      <color rgb="000D1730"/>
      <sz val="11"/>
    </font>
    <font>
      <i val="1"/>
      <color rgb="006B7280"/>
      <sz val="9"/>
    </font>
  </fonts>
  <fills count="11">
    <fill>
      <patternFill/>
    </fill>
    <fill>
      <patternFill patternType="gray125"/>
    </fill>
    <fill>
      <patternFill patternType="solid">
        <fgColor rgb="000D1730"/>
      </patternFill>
    </fill>
    <fill>
      <patternFill patternType="solid">
        <fgColor rgb="00EDE9FE"/>
      </patternFill>
    </fill>
    <fill>
      <patternFill patternType="solid">
        <fgColor rgb="00E0F2FE"/>
      </patternFill>
    </fill>
    <fill>
      <patternFill patternType="solid">
        <fgColor rgb="00F3F4F6"/>
      </patternFill>
    </fill>
    <fill>
      <patternFill patternType="solid">
        <fgColor rgb="00FEE2E2"/>
      </patternFill>
    </fill>
    <fill>
      <patternFill patternType="solid">
        <fgColor rgb="00FEF3C7"/>
      </patternFill>
    </fill>
    <fill>
      <patternFill patternType="solid">
        <fgColor rgb="00ECFDF5"/>
      </patternFill>
    </fill>
    <fill>
      <patternFill patternType="solid">
        <fgColor rgb="00FFF7E6"/>
      </patternFill>
    </fill>
    <fill>
      <patternFill patternType="solid">
        <fgColor rgb="00F1F5F9"/>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28">
    <xf numFmtId="0" fontId="0" fillId="0" borderId="0" pivotButton="0" quotePrefix="0" xfId="0"/>
    <xf numFmtId="0" fontId="4" fillId="0" borderId="0" pivotButton="0" quotePrefix="0" xfId="0"/>
    <xf numFmtId="0" fontId="5" fillId="0" borderId="0" pivotButton="0" quotePrefix="0" xfId="0"/>
    <xf numFmtId="0" fontId="2" fillId="10" borderId="1" pivotButton="0" quotePrefix="0" xfId="0"/>
    <xf numFmtId="3" fontId="10" fillId="10" borderId="1" pivotButton="0" quotePrefix="0" xfId="0"/>
    <xf numFmtId="10" fontId="10" fillId="10" borderId="1" pivotButton="0" quotePrefix="0" xfId="0"/>
    <xf numFmtId="164" fontId="10" fillId="10" borderId="1" pivotButton="0" quotePrefix="0" xfId="0"/>
    <xf numFmtId="1" fontId="10" fillId="10" borderId="1" pivotButton="0" quotePrefix="0" xfId="0"/>
    <xf numFmtId="0" fontId="9" fillId="0" borderId="0" pivotButton="0" quotePrefix="0" xfId="0"/>
    <xf numFmtId="0" fontId="0" fillId="0"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xf numFmtId="3" fontId="2" fillId="0" borderId="1" applyAlignment="1" pivotButton="0" quotePrefix="0" xfId="0">
      <alignment vertical="top" wrapText="1"/>
    </xf>
    <xf numFmtId="0" fontId="11" fillId="0" borderId="0" pivotButton="0" quotePrefix="0" xfId="0"/>
    <xf numFmtId="0" fontId="3" fillId="3" borderId="1" applyAlignment="1" pivotButton="0" quotePrefix="0" xfId="0">
      <alignment vertical="top" wrapText="1"/>
    </xf>
    <xf numFmtId="164" fontId="2" fillId="0" borderId="1" applyAlignment="1" pivotButton="0" quotePrefix="0" xfId="0">
      <alignment vertical="top" wrapText="1"/>
    </xf>
    <xf numFmtId="165" fontId="2"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3" fontId="7"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3" fillId="0" borderId="0" pivotButton="0" quotePrefix="0" xfId="0"/>
  </cellXfs>
  <cellStyles count="1">
    <cellStyle name="Normal" xfId="0" builtinId="0" hidden="0"/>
  </cellStyles>
  <dxfs count="4">
    <dxf>
      <fill>
        <patternFill patternType="solid">
          <fgColor rgb="00FEE2E2"/>
        </patternFill>
      </fill>
    </dxf>
    <dxf>
      <fill>
        <patternFill patternType="solid">
          <fgColor rgb="00FEF3C7"/>
        </patternFill>
      </fill>
    </dxf>
    <dxf>
      <fill>
        <patternFill patternType="solid">
          <fgColor rgb="00E0F2FE"/>
        </patternFill>
      </fill>
    </dxf>
    <dxf>
      <fill>
        <patternFill patternType="solid">
          <fgColor rgb="00D1FA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2D3EE"/>
    <outlinePr summaryBelow="1" summaryRight="1"/>
    <pageSetUpPr/>
  </sheetPr>
  <dimension ref="A1:G40"/>
  <sheetViews>
    <sheetView showGridLines="0" workbookViewId="0">
      <selection pane="topRight"/>
      <selection pane="bottomLeft"/>
      <selection pane="bottomRight"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AI Queries Finder - Coastline Epoxy Floors</t>
        </is>
      </c>
    </row>
    <row r="2">
      <c r="A2" s="2" t="inlineStr">
        <is>
          <t>Google Search Console, Last 3 months (23 Jul - 21 Oct 2026). Built 2026-10-22.</t>
        </is>
      </c>
    </row>
    <row r="4">
      <c r="A4" s="3" t="inlineStr">
        <is>
          <t>Site total clicks (no filter)</t>
        </is>
      </c>
      <c r="B4" s="4" t="n">
        <v>6840</v>
      </c>
    </row>
    <row r="5">
      <c r="A5" s="3" t="inlineStr">
        <is>
          <t>Site total impressions (no filter)</t>
        </is>
      </c>
      <c r="B5" s="4" t="n">
        <v>412000</v>
      </c>
    </row>
    <row r="6">
      <c r="A6" s="3" t="inlineStr">
        <is>
          <t>AI-style queries found</t>
        </is>
      </c>
      <c r="B6" s="4">
        <f>COUNTIF('AI Queries'!$C$2:$C$59,"Yes")</f>
        <v/>
      </c>
    </row>
    <row r="7">
      <c r="A7" s="3" t="inlineStr">
        <is>
          <t>AI-style impressions</t>
        </is>
      </c>
      <c r="B7" s="4">
        <f>SUMIFS('AI Queries'!$J$2:$J$59,'AI Queries'!$C$2:$C$59,"Yes")</f>
        <v/>
      </c>
    </row>
    <row r="8">
      <c r="A8" s="3" t="inlineStr">
        <is>
          <t>AI-style clicks</t>
        </is>
      </c>
      <c r="B8" s="4">
        <f>SUMIFS('AI Queries'!$I$2:$I$59,'AI Queries'!$C$2:$C$59,"Yes")</f>
        <v/>
      </c>
    </row>
    <row r="9">
      <c r="A9" s="3" t="inlineStr">
        <is>
          <t>AI-style CTR</t>
        </is>
      </c>
      <c r="B9" s="5">
        <f>IF(B7&gt;0,B8/B7,0)</f>
        <v/>
      </c>
    </row>
    <row r="10">
      <c r="A10" s="3" t="inlineStr">
        <is>
          <t>Share of site impressions</t>
        </is>
      </c>
      <c r="B10" s="6">
        <f>IF(N(B5)&gt;0,B7/B5,"n/a")</f>
        <v/>
      </c>
    </row>
    <row r="11">
      <c r="A11" s="3" t="inlineStr">
        <is>
          <t>Queries where an AI answer likely takes the click</t>
        </is>
      </c>
      <c r="B11" s="4">
        <f>COUNTIFS('AI Queries'!$C$2:$C$59,"Yes",'AI Queries'!$N$2:$N$59,"Yes")</f>
        <v/>
      </c>
    </row>
    <row r="12">
      <c r="A12" s="3" t="inlineStr">
        <is>
          <t>Topic clusters</t>
        </is>
      </c>
      <c r="B12" s="7">
        <f>COUNTA('Topic Clusters'!$A$2:$A$11)</f>
        <v/>
      </c>
    </row>
    <row r="13">
      <c r="A13" s="3" t="inlineStr">
        <is>
          <t>Est. extra clicks if the plan works (per period)</t>
        </is>
      </c>
      <c r="B13" s="4">
        <f>SUMIFS('AI Queries'!$Q$2:$Q$59,'AI Queries'!$C$2:$C$59,"Yes")</f>
        <v/>
      </c>
    </row>
    <row r="15">
      <c r="A15" s="8" t="inlineStr">
        <is>
          <t>The short version</t>
        </is>
      </c>
    </row>
    <row r="16" ht="64" customHeight="1">
      <c r="A16" s="9" t="inlineStr">
        <is>
          <t>About 7% of the site's impressions come from AI-style questions, and most land on pages that rank but don't answer the question in one quotable passage. Cost and lifespan questions already rank in the top 8, yet CTR is a fraction of what those positions earn: AI Overviews are answering them. The biggest move is answer-first blocks with real Gold Coast numbers on the cost and garage pages this week.</t>
        </is>
      </c>
    </row>
    <row r="18">
      <c r="A18" s="8" t="inlineStr">
        <is>
          <t>Top topics</t>
        </is>
      </c>
    </row>
    <row r="19" ht="32" customHeight="1">
      <c r="A19" s="10" t="inlineStr">
        <is>
          <t>Topic</t>
        </is>
      </c>
      <c r="B19" s="10" t="inlineStr">
        <is>
          <t>Priority</t>
        </is>
      </c>
      <c r="C19" s="10" t="inlineStr">
        <is>
          <t>Impressions</t>
        </is>
      </c>
      <c r="D19" s="10" t="inlineStr">
        <is>
          <t>Clicks</t>
        </is>
      </c>
      <c r="E19" s="10" t="inlineStr">
        <is>
          <t>Avg position</t>
        </is>
      </c>
      <c r="F19" s="10" t="inlineStr">
        <is>
          <t>Est. extra clicks</t>
        </is>
      </c>
      <c r="G19" s="10" t="inlineStr">
        <is>
          <t>Move</t>
        </is>
      </c>
    </row>
    <row r="20">
      <c r="A20" s="11">
        <f>'Topic Clusters'!B2</f>
        <v/>
      </c>
      <c r="B20" s="11">
        <f>'Topic Clusters'!C2</f>
        <v/>
      </c>
      <c r="C20" s="12">
        <f>'Topic Clusters'!F2</f>
        <v/>
      </c>
      <c r="D20" s="11">
        <f>'Topic Clusters'!E2</f>
        <v/>
      </c>
      <c r="E20" s="11">
        <f>'Topic Clusters'!H2</f>
        <v/>
      </c>
      <c r="F20" s="11">
        <f>'Topic Clusters'!K2</f>
        <v/>
      </c>
      <c r="G20" s="11" t="inlineStr">
        <is>
          <t>Update existing page</t>
        </is>
      </c>
    </row>
    <row r="21">
      <c r="A21" s="11">
        <f>'Topic Clusters'!B3</f>
        <v/>
      </c>
      <c r="B21" s="11">
        <f>'Topic Clusters'!C3</f>
        <v/>
      </c>
      <c r="C21" s="12">
        <f>'Topic Clusters'!F3</f>
        <v/>
      </c>
      <c r="D21" s="11">
        <f>'Topic Clusters'!E3</f>
        <v/>
      </c>
      <c r="E21" s="11">
        <f>'Topic Clusters'!H3</f>
        <v/>
      </c>
      <c r="F21" s="11">
        <f>'Topic Clusters'!K3</f>
        <v/>
      </c>
      <c r="G21" s="11" t="inlineStr">
        <is>
          <t>Update existing page</t>
        </is>
      </c>
    </row>
    <row r="22">
      <c r="A22" s="11">
        <f>'Topic Clusters'!B4</f>
        <v/>
      </c>
      <c r="B22" s="11">
        <f>'Topic Clusters'!C4</f>
        <v/>
      </c>
      <c r="C22" s="12">
        <f>'Topic Clusters'!F4</f>
        <v/>
      </c>
      <c r="D22" s="11">
        <f>'Topic Clusters'!E4</f>
        <v/>
      </c>
      <c r="E22" s="11">
        <f>'Topic Clusters'!H4</f>
        <v/>
      </c>
      <c r="F22" s="11">
        <f>'Topic Clusters'!K4</f>
        <v/>
      </c>
      <c r="G22" s="11" t="inlineStr">
        <is>
          <t>New section</t>
        </is>
      </c>
    </row>
    <row r="23">
      <c r="A23" s="11">
        <f>'Topic Clusters'!B5</f>
        <v/>
      </c>
      <c r="B23" s="11">
        <f>'Topic Clusters'!C5</f>
        <v/>
      </c>
      <c r="C23" s="12">
        <f>'Topic Clusters'!F5</f>
        <v/>
      </c>
      <c r="D23" s="11">
        <f>'Topic Clusters'!E5</f>
        <v/>
      </c>
      <c r="E23" s="11">
        <f>'Topic Clusters'!H5</f>
        <v/>
      </c>
      <c r="F23" s="11">
        <f>'Topic Clusters'!K5</f>
        <v/>
      </c>
      <c r="G23" s="11" t="inlineStr">
        <is>
          <t>Update existing page</t>
        </is>
      </c>
    </row>
    <row r="24">
      <c r="A24" s="11">
        <f>'Topic Clusters'!B6</f>
        <v/>
      </c>
      <c r="B24" s="11">
        <f>'Topic Clusters'!C6</f>
        <v/>
      </c>
      <c r="C24" s="12">
        <f>'Topic Clusters'!F6</f>
        <v/>
      </c>
      <c r="D24" s="11">
        <f>'Topic Clusters'!E6</f>
        <v/>
      </c>
      <c r="E24" s="11">
        <f>'Topic Clusters'!H6</f>
        <v/>
      </c>
      <c r="F24" s="11">
        <f>'Topic Clusters'!K6</f>
        <v/>
      </c>
      <c r="G24" s="11" t="inlineStr">
        <is>
          <t>New section</t>
        </is>
      </c>
    </row>
    <row r="26">
      <c r="A26" s="8" t="inlineStr">
        <is>
          <t>Quick wins (days 1-7)</t>
        </is>
      </c>
    </row>
    <row r="27">
      <c r="A27" s="9" t="inlineStr">
        <is>
          <t>- Check robots.txt and the Cloudflare bot settings: allow OAI-SearchBot, ChatGPT-User, PerplexityBot, Claude-SearchBot and Bingbot</t>
        </is>
      </c>
    </row>
    <row r="28">
      <c r="A28" s="9" t="inlineStr">
        <is>
          <t>- Verify the site in Bing Webmaster Tools (import from GSC) and switch on IndexNow</t>
        </is>
      </c>
    </row>
    <row r="29">
      <c r="A29" s="9" t="inlineStr">
        <is>
          <t>- Add the T1 and T2 answer blocks + question headings to the cost and garage pages, then request indexing</t>
        </is>
      </c>
    </row>
    <row r="30">
      <c r="A30" s="9" t="inlineStr">
        <is>
          <t>- Rewrite the cost page title to promise the specific answer: 'Epoxy Flooring Cost Gold Coast: m² Prices + Real Jobs'</t>
        </is>
      </c>
    </row>
    <row r="31">
      <c r="A31" s="9" t="inlineStr">
        <is>
          <t>- Save the master regex as a GSC filter and note this report's baseline (impressions, clicks, CTR)</t>
        </is>
      </c>
    </row>
    <row r="33">
      <c r="A33" s="8" t="inlineStr">
        <is>
          <t>How to use this sheet</t>
        </is>
      </c>
    </row>
    <row r="34">
      <c r="A34" t="inlineStr">
        <is>
          <t>1. Topic Clusters: what AI-style searchers want from you, biggest first.</t>
        </is>
      </c>
    </row>
    <row r="35">
      <c r="A35" t="inlineStr">
        <is>
          <t>2. Optimization Plan: the answer block, headings, FAQ and links to add per topic (green = review).</t>
        </is>
      </c>
    </row>
    <row r="36">
      <c r="A36" t="inlineStr">
        <is>
          <t>3. AI Visibility Plan: do the quick wins this week, then the 30/90-day plan. Fill the amber cells.</t>
        </is>
      </c>
    </row>
    <row r="37">
      <c r="A37" t="inlineStr">
        <is>
          <t>4. Regex Library: save the master regex as a GSC filter and re-check monthly against this baseline.</t>
        </is>
      </c>
    </row>
    <row r="38">
      <c r="A38" t="inlineStr">
        <is>
          <t>Green cells are suggestions to review. Amber cells are yours to fill in.</t>
        </is>
      </c>
    </row>
    <row r="40">
      <c r="A40" s="13" t="inlineStr">
        <is>
          <t>Built with ai-queries-finder by Akif Qureshi | SEO Specialist - algoblueprints.com</t>
        </is>
      </c>
    </row>
  </sheetData>
  <mergeCells count="11">
    <mergeCell ref="A36:G36"/>
    <mergeCell ref="A27:G27"/>
    <mergeCell ref="A31:G31"/>
    <mergeCell ref="A34:G34"/>
    <mergeCell ref="A35:G35"/>
    <mergeCell ref="A30:G30"/>
    <mergeCell ref="A16:G16"/>
    <mergeCell ref="A38:G38"/>
    <mergeCell ref="A29:G29"/>
    <mergeCell ref="A28:G28"/>
    <mergeCell ref="A37:G37"/>
  </mergeCells>
  <pageMargins left="0.75" right="0.75" top="1" bottom="1" header="0.5" footer="0.5"/>
</worksheet>
</file>

<file path=xl/worksheets/sheet2.xml><?xml version="1.0" encoding="utf-8"?>
<worksheet xmlns="http://schemas.openxmlformats.org/spreadsheetml/2006/main">
  <sheetPr>
    <tabColor rgb="00A78BFA"/>
    <outlinePr summaryBelow="1" summaryRight="1"/>
    <pageSetUpPr/>
  </sheetPr>
  <dimension ref="A1:R5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8" customWidth="1" min="1" max="1"/>
    <col width="7" customWidth="1" min="2" max="2"/>
    <col width="9" customWidth="1" min="3" max="3"/>
    <col width="8" customWidth="1" min="4" max="4"/>
    <col width="9" customWidth="1" min="5" max="5"/>
    <col width="16" customWidth="1" min="6" max="6"/>
    <col width="13" customWidth="1" min="7" max="7"/>
    <col width="8" customWidth="1" min="8" max="8"/>
    <col width="8" customWidth="1" min="9" max="9"/>
    <col width="11" customWidth="1" min="10" max="10"/>
    <col width="8" customWidth="1" min="11" max="11"/>
    <col width="9" customWidth="1" min="12" max="12"/>
    <col width="9" customWidth="1" min="13" max="13"/>
    <col width="11" customWidth="1" min="14" max="14"/>
    <col width="30" customWidth="1" min="15" max="15"/>
    <col width="9" customWidth="1" min="16" max="16"/>
    <col width="10" customWidth="1" min="17" max="17"/>
    <col width="40" customWidth="1" min="18" max="18"/>
  </cols>
  <sheetData>
    <row r="1" ht="32" customHeight="1">
      <c r="A1" s="10" t="inlineStr">
        <is>
          <t>Query</t>
        </is>
      </c>
      <c r="B1" s="10" t="inlineStr">
        <is>
          <t>Words</t>
        </is>
      </c>
      <c r="C1" s="10" t="inlineStr">
        <is>
          <t>AI-style</t>
        </is>
      </c>
      <c r="D1" s="10" t="inlineStr">
        <is>
          <t>AI score</t>
        </is>
      </c>
      <c r="E1" s="10" t="inlineStr">
        <is>
          <t>Tier</t>
        </is>
      </c>
      <c r="F1" s="10" t="inlineStr">
        <is>
          <t>Regex families</t>
        </is>
      </c>
      <c r="G1" s="10" t="inlineStr">
        <is>
          <t>Intent</t>
        </is>
      </c>
      <c r="H1" s="10" t="inlineStr">
        <is>
          <t>Topic</t>
        </is>
      </c>
      <c r="I1" s="10" t="inlineStr">
        <is>
          <t>Clicks</t>
        </is>
      </c>
      <c r="J1" s="10" t="inlineStr">
        <is>
          <t>Impressions</t>
        </is>
      </c>
      <c r="K1" s="10" t="inlineStr">
        <is>
          <t>CTR</t>
        </is>
      </c>
      <c r="L1" s="10" t="inlineStr">
        <is>
          <t>Position</t>
        </is>
      </c>
      <c r="M1" s="10" t="inlineStr">
        <is>
          <t>Bucket</t>
        </is>
      </c>
      <c r="N1" s="10" t="inlineStr">
        <is>
          <t>AI Overview likely</t>
        </is>
      </c>
      <c r="O1" s="10" t="inlineStr">
        <is>
          <t>Action type</t>
        </is>
      </c>
      <c r="P1" s="10" t="inlineStr">
        <is>
          <t>Target CTR</t>
        </is>
      </c>
      <c r="Q1" s="10" t="inlineStr">
        <is>
          <t>Est. extra clicks</t>
        </is>
      </c>
      <c r="R1" s="10" t="inlineStr">
        <is>
          <t>Page</t>
        </is>
      </c>
    </row>
    <row r="2">
      <c r="A2" s="11" t="inlineStr">
        <is>
          <t>how much does epoxy flooring cost per square metre</t>
        </is>
      </c>
      <c r="B2" s="11">
        <f>IF(LEN(TRIM(A2))=0,0,LEN(TRIM(A2))-LEN(SUBSTITUTE(TRIM(A2)," ",""))+1)</f>
        <v/>
      </c>
      <c r="C2" s="11" t="inlineStr">
        <is>
          <t>Yes</t>
        </is>
      </c>
      <c r="D2" s="11" t="n">
        <v>60</v>
      </c>
      <c r="E2" s="14" t="inlineStr">
        <is>
          <t>High</t>
        </is>
      </c>
      <c r="F2" s="11" t="inlineStr">
        <is>
          <t>R02, R03, R09</t>
        </is>
      </c>
      <c r="G2" s="11" t="inlineStr">
        <is>
          <t>Transactional</t>
        </is>
      </c>
      <c r="H2" s="11" t="inlineStr">
        <is>
          <t>T1</t>
        </is>
      </c>
      <c r="I2" s="11" t="n">
        <v>58</v>
      </c>
      <c r="J2" s="12" t="n">
        <v>3100</v>
      </c>
      <c r="K2" s="15">
        <f>IF(J2&gt;0,I2/J2,0)</f>
        <v/>
      </c>
      <c r="L2" s="16" t="n">
        <v>3</v>
      </c>
      <c r="M2" s="11" t="inlineStr">
        <is>
          <t>Top 3</t>
        </is>
      </c>
      <c r="N2" s="11" t="inlineStr">
        <is>
          <t>Yes</t>
        </is>
      </c>
      <c r="O2" s="11" t="inlineStr">
        <is>
          <t>Win the AI citation (answer is likely summarised)</t>
        </is>
      </c>
      <c r="P2" s="15" t="n">
        <v>0.25</v>
      </c>
      <c r="Q2" s="11">
        <f>IF(H2="",0,MAX(0,ROUND(J2*P2-I2,0)))</f>
        <v/>
      </c>
      <c r="R2" s="11" t="inlineStr"/>
    </row>
    <row r="3">
      <c r="A3" s="11" t="inlineStr">
        <is>
          <t>how long does epoxy garage floor last</t>
        </is>
      </c>
      <c r="B3" s="11">
        <f>IF(LEN(TRIM(A3))=0,0,LEN(TRIM(A3))-LEN(SUBSTITUTE(TRIM(A3)," ",""))+1)</f>
        <v/>
      </c>
      <c r="C3" s="11" t="inlineStr">
        <is>
          <t>Yes</t>
        </is>
      </c>
      <c r="D3" s="11" t="n">
        <v>60</v>
      </c>
      <c r="E3" s="14" t="inlineStr">
        <is>
          <t>High</t>
        </is>
      </c>
      <c r="F3" s="11" t="inlineStr">
        <is>
          <t>R02, R03, R09</t>
        </is>
      </c>
      <c r="G3" s="11" t="inlineStr">
        <is>
          <t>Informational</t>
        </is>
      </c>
      <c r="H3" s="11" t="inlineStr">
        <is>
          <t>T2</t>
        </is>
      </c>
      <c r="I3" s="11" t="n">
        <v>72</v>
      </c>
      <c r="J3" s="12" t="n">
        <v>2400</v>
      </c>
      <c r="K3" s="15">
        <f>IF(J3&gt;0,I3/J3,0)</f>
        <v/>
      </c>
      <c r="L3" s="16" t="n">
        <v>2.1</v>
      </c>
      <c r="M3" s="11" t="inlineStr">
        <is>
          <t>Top 3</t>
        </is>
      </c>
      <c r="N3" s="11" t="inlineStr">
        <is>
          <t>Yes</t>
        </is>
      </c>
      <c r="O3" s="11" t="inlineStr">
        <is>
          <t>Win the AI citation (answer is likely summarised)</t>
        </is>
      </c>
      <c r="P3" s="15" t="n">
        <v>0.25</v>
      </c>
      <c r="Q3" s="11">
        <f>IF(H3="",0,MAX(0,ROUND(J3*P3-I3,0)))</f>
        <v/>
      </c>
      <c r="R3" s="11" t="inlineStr"/>
    </row>
    <row r="4">
      <c r="A4" s="11" t="inlineStr">
        <is>
          <t>is epoxy flooring worth it for a garage</t>
        </is>
      </c>
      <c r="B4" s="11">
        <f>IF(LEN(TRIM(A4))=0,0,LEN(TRIM(A4))-LEN(SUBSTITUTE(TRIM(A4)," ",""))+1)</f>
        <v/>
      </c>
      <c r="C4" s="11" t="inlineStr">
        <is>
          <t>Yes</t>
        </is>
      </c>
      <c r="D4" s="11" t="n">
        <v>55</v>
      </c>
      <c r="E4" s="14" t="inlineStr">
        <is>
          <t>High</t>
        </is>
      </c>
      <c r="F4" s="11" t="inlineStr">
        <is>
          <t>R02, R03, R07</t>
        </is>
      </c>
      <c r="G4" s="11" t="inlineStr">
        <is>
          <t>Commercial</t>
        </is>
      </c>
      <c r="H4" s="11" t="inlineStr">
        <is>
          <t>T3</t>
        </is>
      </c>
      <c r="I4" s="11" t="n">
        <v>117</v>
      </c>
      <c r="J4" s="12" t="n">
        <v>1900</v>
      </c>
      <c r="K4" s="15">
        <f>IF(J4&gt;0,I4/J4,0)</f>
        <v/>
      </c>
      <c r="L4" s="16" t="n">
        <v>4.2</v>
      </c>
      <c r="M4" s="11" t="inlineStr">
        <is>
          <t>4-10</t>
        </is>
      </c>
      <c r="N4" s="11" t="inlineStr"/>
      <c r="O4" s="11" t="inlineStr">
        <is>
          <t>Answer upgrade</t>
        </is>
      </c>
      <c r="P4" s="15" t="n">
        <v>0.1</v>
      </c>
      <c r="Q4" s="11">
        <f>IF(H4="",0,MAX(0,ROUND(J4*P4-I4,0)))</f>
        <v/>
      </c>
      <c r="R4" s="11" t="inlineStr"/>
    </row>
    <row r="5">
      <c r="A5" s="11" t="inlineStr">
        <is>
          <t>how much does it cost to epoxy a double garage</t>
        </is>
      </c>
      <c r="B5" s="11">
        <f>IF(LEN(TRIM(A5))=0,0,LEN(TRIM(A5))-LEN(SUBSTITUTE(TRIM(A5)," ",""))+1)</f>
        <v/>
      </c>
      <c r="C5" s="11" t="inlineStr">
        <is>
          <t>Yes</t>
        </is>
      </c>
      <c r="D5" s="11" t="n">
        <v>80</v>
      </c>
      <c r="E5" s="14" t="inlineStr">
        <is>
          <t>High</t>
        </is>
      </c>
      <c r="F5" s="11" t="inlineStr">
        <is>
          <t>R01, R03, R09</t>
        </is>
      </c>
      <c r="G5" s="11" t="inlineStr">
        <is>
          <t>Transactional</t>
        </is>
      </c>
      <c r="H5" s="11" t="inlineStr">
        <is>
          <t>T1</t>
        </is>
      </c>
      <c r="I5" s="11" t="n">
        <v>57</v>
      </c>
      <c r="J5" s="12" t="n">
        <v>1450</v>
      </c>
      <c r="K5" s="15">
        <f>IF(J5&gt;0,I5/J5,0)</f>
        <v/>
      </c>
      <c r="L5" s="16" t="n">
        <v>5.6</v>
      </c>
      <c r="M5" s="11" t="inlineStr">
        <is>
          <t>4-10</t>
        </is>
      </c>
      <c r="N5" s="11" t="inlineStr"/>
      <c r="O5" s="11" t="inlineStr">
        <is>
          <t>Answer upgrade</t>
        </is>
      </c>
      <c r="P5" s="15" t="n">
        <v>0.1</v>
      </c>
      <c r="Q5" s="11">
        <f>IF(H5="",0,MAX(0,ROUND(J5*P5-I5,0)))</f>
        <v/>
      </c>
      <c r="R5" s="11" t="inlineStr"/>
    </row>
    <row r="6">
      <c r="A6" s="11" t="inlineStr">
        <is>
          <t>what is the best epoxy for garage floors</t>
        </is>
      </c>
      <c r="B6" s="11">
        <f>IF(LEN(TRIM(A6))=0,0,LEN(TRIM(A6))-LEN(SUBSTITUTE(TRIM(A6)," ",""))+1)</f>
        <v/>
      </c>
      <c r="C6" s="11" t="inlineStr">
        <is>
          <t>Yes</t>
        </is>
      </c>
      <c r="D6" s="11" t="n">
        <v>70</v>
      </c>
      <c r="E6" s="14" t="inlineStr">
        <is>
          <t>High</t>
        </is>
      </c>
      <c r="F6" s="11" t="inlineStr">
        <is>
          <t>R02, R03, R07, R09</t>
        </is>
      </c>
      <c r="G6" s="11" t="inlineStr">
        <is>
          <t>Commercial</t>
        </is>
      </c>
      <c r="H6" s="11" t="inlineStr">
        <is>
          <t>T3</t>
        </is>
      </c>
      <c r="I6" s="11" t="n">
        <v>18</v>
      </c>
      <c r="J6" s="12" t="n">
        <v>1300</v>
      </c>
      <c r="K6" s="15">
        <f>IF(J6&gt;0,I6/J6,0)</f>
        <v/>
      </c>
      <c r="L6" s="16" t="n">
        <v>8.9</v>
      </c>
      <c r="M6" s="11" t="inlineStr">
        <is>
          <t>4-10</t>
        </is>
      </c>
      <c r="N6" s="11" t="inlineStr"/>
      <c r="O6" s="11" t="inlineStr">
        <is>
          <t>Answer upgrade</t>
        </is>
      </c>
      <c r="P6" s="15" t="n">
        <v>0.1</v>
      </c>
      <c r="Q6" s="11">
        <f>IF(H6="",0,MAX(0,ROUND(J6*P6-I6,0)))</f>
        <v/>
      </c>
      <c r="R6" s="11" t="inlineStr"/>
    </row>
    <row r="7">
      <c r="A7" s="11" t="inlineStr">
        <is>
          <t>what is flake epoxy flooring</t>
        </is>
      </c>
      <c r="B7" s="11">
        <f>IF(LEN(TRIM(A7))=0,0,LEN(TRIM(A7))-LEN(SUBSTITUTE(TRIM(A7)," ",""))+1)</f>
        <v/>
      </c>
      <c r="C7" s="11" t="inlineStr">
        <is>
          <t>Yes</t>
        </is>
      </c>
      <c r="D7" s="11" t="n">
        <v>45</v>
      </c>
      <c r="E7" s="17" t="inlineStr">
        <is>
          <t>Medium</t>
        </is>
      </c>
      <c r="F7" s="11" t="inlineStr">
        <is>
          <t>R03, R09</t>
        </is>
      </c>
      <c r="G7" s="11" t="inlineStr">
        <is>
          <t>Informational</t>
        </is>
      </c>
      <c r="H7" s="11" t="inlineStr">
        <is>
          <t>T10</t>
        </is>
      </c>
      <c r="I7" s="11" t="n">
        <v>31</v>
      </c>
      <c r="J7" s="12" t="n">
        <v>1250</v>
      </c>
      <c r="K7" s="15">
        <f>IF(J7&gt;0,I7/J7,0)</f>
        <v/>
      </c>
      <c r="L7" s="16" t="n">
        <v>2.9</v>
      </c>
      <c r="M7" s="11" t="inlineStr">
        <is>
          <t>Top 3</t>
        </is>
      </c>
      <c r="N7" s="11" t="inlineStr">
        <is>
          <t>Yes</t>
        </is>
      </c>
      <c r="O7" s="11" t="inlineStr">
        <is>
          <t>Win the AI citation (answer is likely summarised)</t>
        </is>
      </c>
      <c r="P7" s="15" t="n">
        <v>0.25</v>
      </c>
      <c r="Q7" s="11">
        <f>IF(H7="",0,MAX(0,ROUND(J7*P7-I7,0)))</f>
        <v/>
      </c>
      <c r="R7" s="11" t="inlineStr"/>
    </row>
    <row r="8">
      <c r="A8" s="11" t="inlineStr">
        <is>
          <t>how do you clean an epoxy garage floor</t>
        </is>
      </c>
      <c r="B8" s="11">
        <f>IF(LEN(TRIM(A8))=0,0,LEN(TRIM(A8))-LEN(SUBSTITUTE(TRIM(A8)," ",""))+1)</f>
        <v/>
      </c>
      <c r="C8" s="11" t="inlineStr">
        <is>
          <t>Yes</t>
        </is>
      </c>
      <c r="D8" s="11" t="n">
        <v>60</v>
      </c>
      <c r="E8" s="14" t="inlineStr">
        <is>
          <t>High</t>
        </is>
      </c>
      <c r="F8" s="11" t="inlineStr">
        <is>
          <t>R02, R03, R09</t>
        </is>
      </c>
      <c r="G8" s="11" t="inlineStr">
        <is>
          <t>Informational</t>
        </is>
      </c>
      <c r="H8" s="11" t="inlineStr">
        <is>
          <t>T4</t>
        </is>
      </c>
      <c r="I8" s="11" t="n">
        <v>33</v>
      </c>
      <c r="J8" s="12" t="n">
        <v>1100</v>
      </c>
      <c r="K8" s="15">
        <f>IF(J8&gt;0,I8/J8,0)</f>
        <v/>
      </c>
      <c r="L8" s="16" t="n">
        <v>2.6</v>
      </c>
      <c r="M8" s="11" t="inlineStr">
        <is>
          <t>Top 3</t>
        </is>
      </c>
      <c r="N8" s="11" t="inlineStr">
        <is>
          <t>Yes</t>
        </is>
      </c>
      <c r="O8" s="11" t="inlineStr">
        <is>
          <t>Win the AI citation (answer is likely summarised)</t>
        </is>
      </c>
      <c r="P8" s="15" t="n">
        <v>0.25</v>
      </c>
      <c r="Q8" s="11">
        <f>IF(H8="",0,MAX(0,ROUND(J8*P8-I8,0)))</f>
        <v/>
      </c>
      <c r="R8" s="11" t="inlineStr"/>
    </row>
    <row r="9">
      <c r="A9" s="11" t="inlineStr">
        <is>
          <t>is epoxy flooring slippery when wet</t>
        </is>
      </c>
      <c r="B9" s="11">
        <f>IF(LEN(TRIM(A9))=0,0,LEN(TRIM(A9))-LEN(SUBSTITUTE(TRIM(A9)," ",""))+1)</f>
        <v/>
      </c>
      <c r="C9" s="11" t="inlineStr">
        <is>
          <t>Yes</t>
        </is>
      </c>
      <c r="D9" s="11" t="n">
        <v>30</v>
      </c>
      <c r="E9" s="17" t="inlineStr">
        <is>
          <t>Medium</t>
        </is>
      </c>
      <c r="F9" s="11" t="inlineStr">
        <is>
          <t>R03</t>
        </is>
      </c>
      <c r="G9" s="11" t="inlineStr">
        <is>
          <t>Informational</t>
        </is>
      </c>
      <c r="H9" s="11" t="inlineStr">
        <is>
          <t>T6</t>
        </is>
      </c>
      <c r="I9" s="11" t="n">
        <v>38</v>
      </c>
      <c r="J9" s="12" t="n">
        <v>980</v>
      </c>
      <c r="K9" s="15">
        <f>IF(J9&gt;0,I9/J9,0)</f>
        <v/>
      </c>
      <c r="L9" s="16" t="n">
        <v>5.3</v>
      </c>
      <c r="M9" s="11" t="inlineStr">
        <is>
          <t>4-10</t>
        </is>
      </c>
      <c r="N9" s="11" t="inlineStr"/>
      <c r="O9" s="11" t="inlineStr">
        <is>
          <t>Answer upgrade</t>
        </is>
      </c>
      <c r="P9" s="15" t="n">
        <v>0.1</v>
      </c>
      <c r="Q9" s="11">
        <f>IF(H9="",0,MAX(0,ROUND(J9*P9-I9,0)))</f>
        <v/>
      </c>
      <c r="R9" s="11" t="inlineStr"/>
    </row>
    <row r="10">
      <c r="A10" s="11" t="inlineStr">
        <is>
          <t>can you put epoxy over cracked concrete</t>
        </is>
      </c>
      <c r="B10" s="11">
        <f>IF(LEN(TRIM(A10))=0,0,LEN(TRIM(A10))-LEN(SUBSTITUTE(TRIM(A10)," ",""))+1)</f>
        <v/>
      </c>
      <c r="C10" s="11" t="inlineStr">
        <is>
          <t>Yes</t>
        </is>
      </c>
      <c r="D10" s="11" t="n">
        <v>75</v>
      </c>
      <c r="E10" s="14" t="inlineStr">
        <is>
          <t>High</t>
        </is>
      </c>
      <c r="F10" s="11" t="inlineStr">
        <is>
          <t>R02, R03, R04</t>
        </is>
      </c>
      <c r="G10" s="11" t="inlineStr">
        <is>
          <t>Informational</t>
        </is>
      </c>
      <c r="H10" s="11" t="inlineStr">
        <is>
          <t>T5</t>
        </is>
      </c>
      <c r="I10" s="11" t="n">
        <v>9</v>
      </c>
      <c r="J10" s="12" t="n">
        <v>880</v>
      </c>
      <c r="K10" s="15">
        <f>IF(J10&gt;0,I10/J10,0)</f>
        <v/>
      </c>
      <c r="L10" s="16" t="n">
        <v>11.6</v>
      </c>
      <c r="M10" s="11" t="inlineStr">
        <is>
          <t>11-20</t>
        </is>
      </c>
      <c r="N10" s="11" t="inlineStr"/>
      <c r="O10" s="11" t="inlineStr">
        <is>
          <t>Striking distance: expand + internal links</t>
        </is>
      </c>
      <c r="P10" s="15" t="n">
        <v>0.055</v>
      </c>
      <c r="Q10" s="11">
        <f>IF(H10="",0,MAX(0,ROUND(J10*P10-I10,0)))</f>
        <v/>
      </c>
      <c r="R10" s="11" t="inlineStr"/>
    </row>
    <row r="11">
      <c r="A11" s="11" t="inlineStr">
        <is>
          <t>how long after epoxy can i drive on it</t>
        </is>
      </c>
      <c r="B11" s="11">
        <f>IF(LEN(TRIM(A11))=0,0,LEN(TRIM(A11))-LEN(SUBSTITUTE(TRIM(A11)," ",""))+1)</f>
        <v/>
      </c>
      <c r="C11" s="11" t="inlineStr">
        <is>
          <t>Yes</t>
        </is>
      </c>
      <c r="D11" s="11" t="n">
        <v>80</v>
      </c>
      <c r="E11" s="14" t="inlineStr">
        <is>
          <t>High</t>
        </is>
      </c>
      <c r="F11" s="11" t="inlineStr">
        <is>
          <t>R02, R03, R05, R09</t>
        </is>
      </c>
      <c r="G11" s="11" t="inlineStr">
        <is>
          <t>Informational</t>
        </is>
      </c>
      <c r="H11" s="11" t="inlineStr">
        <is>
          <t>T2</t>
        </is>
      </c>
      <c r="I11" s="11" t="n">
        <v>18</v>
      </c>
      <c r="J11" s="12" t="n">
        <v>860</v>
      </c>
      <c r="K11" s="15">
        <f>IF(J11&gt;0,I11/J11,0)</f>
        <v/>
      </c>
      <c r="L11" s="16" t="n">
        <v>3.1</v>
      </c>
      <c r="M11" s="11" t="inlineStr">
        <is>
          <t>4-10</t>
        </is>
      </c>
      <c r="N11" s="11" t="inlineStr">
        <is>
          <t>Yes</t>
        </is>
      </c>
      <c r="O11" s="11" t="inlineStr">
        <is>
          <t>Win the AI citation (answer is likely summarised)</t>
        </is>
      </c>
      <c r="P11" s="15" t="n">
        <v>0.1</v>
      </c>
      <c r="Q11" s="11">
        <f>IF(H11="",0,MAX(0,ROUND(J11*P11-I11,0)))</f>
        <v/>
      </c>
      <c r="R11" s="11" t="inlineStr"/>
    </row>
    <row r="12">
      <c r="A12" s="11" t="inlineStr">
        <is>
          <t>what is the cheapest way to resurface a garage floor</t>
        </is>
      </c>
      <c r="B12" s="11">
        <f>IF(LEN(TRIM(A12))=0,0,LEN(TRIM(A12))-LEN(SUBSTITUTE(TRIM(A12)," ",""))+1)</f>
        <v/>
      </c>
      <c r="C12" s="11" t="inlineStr">
        <is>
          <t>Yes</t>
        </is>
      </c>
      <c r="D12" s="11" t="n">
        <v>90</v>
      </c>
      <c r="E12" s="14" t="inlineStr">
        <is>
          <t>High</t>
        </is>
      </c>
      <c r="F12" s="11" t="inlineStr">
        <is>
          <t>R01, R03, R07, R09</t>
        </is>
      </c>
      <c r="G12" s="11" t="inlineStr">
        <is>
          <t>Informational</t>
        </is>
      </c>
      <c r="H12" s="11" t="inlineStr">
        <is>
          <t>T1</t>
        </is>
      </c>
      <c r="I12" s="11" t="n">
        <v>5</v>
      </c>
      <c r="J12" s="12" t="n">
        <v>830</v>
      </c>
      <c r="K12" s="15">
        <f>IF(J12&gt;0,I12/J12,0)</f>
        <v/>
      </c>
      <c r="L12" s="16" t="n">
        <v>21.9</v>
      </c>
      <c r="M12" s="11" t="inlineStr">
        <is>
          <t>21+</t>
        </is>
      </c>
      <c r="N12" s="11" t="inlineStr"/>
      <c r="O12" s="11" t="inlineStr">
        <is>
          <t>Content gap: new section or page</t>
        </is>
      </c>
      <c r="P12" s="15" t="n">
        <v>0.026</v>
      </c>
      <c r="Q12" s="11">
        <f>IF(H12="",0,MAX(0,ROUND(J12*P12-I12,0)))</f>
        <v/>
      </c>
      <c r="R12" s="11" t="inlineStr"/>
    </row>
    <row r="13">
      <c r="A13" s="11" t="inlineStr">
        <is>
          <t>how to clean epoxy floors without making them slippery</t>
        </is>
      </c>
      <c r="B13" s="11">
        <f>IF(LEN(TRIM(A13))=0,0,LEN(TRIM(A13))-LEN(SUBSTITUTE(TRIM(A13)," ",""))+1)</f>
        <v/>
      </c>
      <c r="C13" s="11" t="inlineStr">
        <is>
          <t>Yes</t>
        </is>
      </c>
      <c r="D13" s="11" t="n">
        <v>70</v>
      </c>
      <c r="E13" s="14" t="inlineStr">
        <is>
          <t>High</t>
        </is>
      </c>
      <c r="F13" s="11" t="inlineStr">
        <is>
          <t>R02, R03, R08, R09</t>
        </is>
      </c>
      <c r="G13" s="11" t="inlineStr">
        <is>
          <t>Informational</t>
        </is>
      </c>
      <c r="H13" s="11" t="inlineStr">
        <is>
          <t>T4</t>
        </is>
      </c>
      <c r="I13" s="11" t="n">
        <v>33</v>
      </c>
      <c r="J13" s="12" t="n">
        <v>720</v>
      </c>
      <c r="K13" s="15">
        <f>IF(J13&gt;0,I13/J13,0)</f>
        <v/>
      </c>
      <c r="L13" s="16" t="n">
        <v>6.1</v>
      </c>
      <c r="M13" s="11" t="inlineStr">
        <is>
          <t>4-10</t>
        </is>
      </c>
      <c r="N13" s="11" t="inlineStr"/>
      <c r="O13" s="11" t="inlineStr">
        <is>
          <t>Answer upgrade</t>
        </is>
      </c>
      <c r="P13" s="15" t="n">
        <v>0.1</v>
      </c>
      <c r="Q13" s="11">
        <f>IF(H13="",0,MAX(0,ROUND(J13*P13-I13,0)))</f>
        <v/>
      </c>
      <c r="R13" s="11" t="inlineStr"/>
    </row>
    <row r="14">
      <c r="A14" s="11" t="inlineStr">
        <is>
          <t>what flooring is best for a warehouse with forklifts</t>
        </is>
      </c>
      <c r="B14" s="11">
        <f>IF(LEN(TRIM(A14))=0,0,LEN(TRIM(A14))-LEN(SUBSTITUTE(TRIM(A14)," ",""))+1)</f>
        <v/>
      </c>
      <c r="C14" s="11" t="inlineStr">
        <is>
          <t>Yes</t>
        </is>
      </c>
      <c r="D14" s="11" t="n">
        <v>55</v>
      </c>
      <c r="E14" s="14" t="inlineStr">
        <is>
          <t>High</t>
        </is>
      </c>
      <c r="F14" s="11" t="inlineStr">
        <is>
          <t>R02, R03, R07</t>
        </is>
      </c>
      <c r="G14" s="11" t="inlineStr">
        <is>
          <t>Commercial</t>
        </is>
      </c>
      <c r="H14" s="11" t="inlineStr">
        <is>
          <t>T3</t>
        </is>
      </c>
      <c r="I14" s="11" t="n">
        <v>3</v>
      </c>
      <c r="J14" s="12" t="n">
        <v>690</v>
      </c>
      <c r="K14" s="15">
        <f>IF(J14&gt;0,I14/J14,0)</f>
        <v/>
      </c>
      <c r="L14" s="16" t="n">
        <v>24.5</v>
      </c>
      <c r="M14" s="11" t="inlineStr">
        <is>
          <t>21+</t>
        </is>
      </c>
      <c r="N14" s="11" t="inlineStr"/>
      <c r="O14" s="11" t="inlineStr">
        <is>
          <t>Content gap: new section or page</t>
        </is>
      </c>
      <c r="P14" s="15" t="n">
        <v>0.026</v>
      </c>
      <c r="Q14" s="11">
        <f>IF(H14="",0,MAX(0,ROUND(J14*P14-I14,0)))</f>
        <v/>
      </c>
      <c r="R14" s="11" t="inlineStr"/>
    </row>
    <row r="15">
      <c r="A15" s="11" t="inlineStr">
        <is>
          <t>what is the difference between epoxy and polyaspartic coatings</t>
        </is>
      </c>
      <c r="B15" s="11">
        <f>IF(LEN(TRIM(A15))=0,0,LEN(TRIM(A15))-LEN(SUBSTITUTE(TRIM(A15)," ",""))+1)</f>
        <v/>
      </c>
      <c r="C15" s="11" t="inlineStr">
        <is>
          <t>Yes</t>
        </is>
      </c>
      <c r="D15" s="11" t="n">
        <v>75</v>
      </c>
      <c r="E15" s="14" t="inlineStr">
        <is>
          <t>High</t>
        </is>
      </c>
      <c r="F15" s="11" t="inlineStr">
        <is>
          <t>R02, R03, R06, R09</t>
        </is>
      </c>
      <c r="G15" s="11" t="inlineStr">
        <is>
          <t>Informational</t>
        </is>
      </c>
      <c r="H15" s="11" t="inlineStr">
        <is>
          <t>T3</t>
        </is>
      </c>
      <c r="I15" s="11" t="n">
        <v>3</v>
      </c>
      <c r="J15" s="12" t="n">
        <v>640</v>
      </c>
      <c r="K15" s="15">
        <f>IF(J15&gt;0,I15/J15,0)</f>
        <v/>
      </c>
      <c r="L15" s="16" t="n">
        <v>16.3</v>
      </c>
      <c r="M15" s="11" t="inlineStr">
        <is>
          <t>11-20</t>
        </is>
      </c>
      <c r="N15" s="11" t="inlineStr"/>
      <c r="O15" s="11" t="inlineStr">
        <is>
          <t>Striking distance: expand + internal links</t>
        </is>
      </c>
      <c r="P15" s="15" t="n">
        <v>0.055</v>
      </c>
      <c r="Q15" s="11">
        <f>IF(H15="",0,MAX(0,ROUND(J15*P15-I15,0)))</f>
        <v/>
      </c>
      <c r="R15" s="11" t="inlineStr"/>
    </row>
    <row r="16">
      <c r="A16" s="11" t="inlineStr">
        <is>
          <t>how long does an epoxy floor last in a garage in queensland</t>
        </is>
      </c>
      <c r="B16" s="11">
        <f>IF(LEN(TRIM(A16))=0,0,LEN(TRIM(A16))-LEN(SUBSTITUTE(TRIM(A16)," ",""))+1)</f>
        <v/>
      </c>
      <c r="C16" s="11" t="inlineStr">
        <is>
          <t>Yes</t>
        </is>
      </c>
      <c r="D16" s="11" t="n">
        <v>80</v>
      </c>
      <c r="E16" s="14" t="inlineStr">
        <is>
          <t>High</t>
        </is>
      </c>
      <c r="F16" s="11" t="inlineStr">
        <is>
          <t>R01, R03, R09</t>
        </is>
      </c>
      <c r="G16" s="11" t="inlineStr">
        <is>
          <t>Local</t>
        </is>
      </c>
      <c r="H16" s="11" t="inlineStr">
        <is>
          <t>T2</t>
        </is>
      </c>
      <c r="I16" s="11" t="n">
        <v>10</v>
      </c>
      <c r="J16" s="12" t="n">
        <v>610</v>
      </c>
      <c r="K16" s="15">
        <f>IF(J16&gt;0,I16/J16,0)</f>
        <v/>
      </c>
      <c r="L16" s="16" t="n">
        <v>3.4</v>
      </c>
      <c r="M16" s="11" t="inlineStr">
        <is>
          <t>4-10</t>
        </is>
      </c>
      <c r="N16" s="11" t="inlineStr">
        <is>
          <t>Yes</t>
        </is>
      </c>
      <c r="O16" s="11" t="inlineStr">
        <is>
          <t>Win the AI citation (answer is likely summarised)</t>
        </is>
      </c>
      <c r="P16" s="15" t="n">
        <v>0.1</v>
      </c>
      <c r="Q16" s="11">
        <f>IF(H16="",0,MAX(0,ROUND(J16*P16-I16,0)))</f>
        <v/>
      </c>
      <c r="R16" s="11" t="inlineStr"/>
    </row>
    <row r="17">
      <c r="A17" s="11" t="inlineStr">
        <is>
          <t>can epoxy be applied over tiles</t>
        </is>
      </c>
      <c r="B17" s="11">
        <f>IF(LEN(TRIM(A17))=0,0,LEN(TRIM(A17))-LEN(SUBSTITUTE(TRIM(A17)," ",""))+1)</f>
        <v/>
      </c>
      <c r="C17" s="11" t="inlineStr">
        <is>
          <t>Yes</t>
        </is>
      </c>
      <c r="D17" s="11" t="n">
        <v>30</v>
      </c>
      <c r="E17" s="17" t="inlineStr">
        <is>
          <t>Medium</t>
        </is>
      </c>
      <c r="F17" s="11" t="inlineStr">
        <is>
          <t>R03</t>
        </is>
      </c>
      <c r="G17" s="11" t="inlineStr">
        <is>
          <t>Informational</t>
        </is>
      </c>
      <c r="H17" s="11" t="inlineStr">
        <is>
          <t>T7</t>
        </is>
      </c>
      <c r="I17" s="11" t="n">
        <v>2</v>
      </c>
      <c r="J17" s="12" t="n">
        <v>600</v>
      </c>
      <c r="K17" s="15">
        <f>IF(J17&gt;0,I17/J17,0)</f>
        <v/>
      </c>
      <c r="L17" s="16" t="n">
        <v>28.4</v>
      </c>
      <c r="M17" s="11" t="inlineStr">
        <is>
          <t>21+</t>
        </is>
      </c>
      <c r="N17" s="11" t="inlineStr"/>
      <c r="O17" s="11" t="inlineStr">
        <is>
          <t>Content gap: new section or page</t>
        </is>
      </c>
      <c r="P17" s="15" t="n">
        <v>0.026</v>
      </c>
      <c r="Q17" s="11">
        <f>IF(H17="",0,MAX(0,ROUND(J17*P17-I17,0)))</f>
        <v/>
      </c>
      <c r="R17" s="11" t="inlineStr"/>
    </row>
    <row r="18">
      <c r="A18" s="11" t="inlineStr">
        <is>
          <t>is polished concrete better than epoxy for a home</t>
        </is>
      </c>
      <c r="B18" s="11">
        <f>IF(LEN(TRIM(A18))=0,0,LEN(TRIM(A18))-LEN(SUBSTITUTE(TRIM(A18)," ",""))+1)</f>
        <v/>
      </c>
      <c r="C18" s="11" t="inlineStr">
        <is>
          <t>Yes</t>
        </is>
      </c>
      <c r="D18" s="11" t="n">
        <v>60</v>
      </c>
      <c r="E18" s="14" t="inlineStr">
        <is>
          <t>High</t>
        </is>
      </c>
      <c r="F18" s="11" t="inlineStr">
        <is>
          <t>R02, R03, R06</t>
        </is>
      </c>
      <c r="G18" s="11" t="inlineStr">
        <is>
          <t>Commercial</t>
        </is>
      </c>
      <c r="H18" s="11" t="inlineStr">
        <is>
          <t>T8</t>
        </is>
      </c>
      <c r="I18" s="11" t="n">
        <v>12</v>
      </c>
      <c r="J18" s="12" t="n">
        <v>530</v>
      </c>
      <c r="K18" s="15">
        <f>IF(J18&gt;0,I18/J18,0)</f>
        <v/>
      </c>
      <c r="L18" s="16" t="n">
        <v>8.4</v>
      </c>
      <c r="M18" s="11" t="inlineStr">
        <is>
          <t>4-10</t>
        </is>
      </c>
      <c r="N18" s="11" t="inlineStr"/>
      <c r="O18" s="11" t="inlineStr">
        <is>
          <t>Answer upgrade</t>
        </is>
      </c>
      <c r="P18" s="15" t="n">
        <v>0.1</v>
      </c>
      <c r="Q18" s="11">
        <f>IF(H18="",0,MAX(0,ROUND(J18*P18-I18,0)))</f>
        <v/>
      </c>
      <c r="R18" s="11" t="inlineStr"/>
    </row>
    <row r="19">
      <c r="A19" s="11" t="inlineStr">
        <is>
          <t>why is epoxy flooring so expensive</t>
        </is>
      </c>
      <c r="B19" s="11">
        <f>IF(LEN(TRIM(A19))=0,0,LEN(TRIM(A19))-LEN(SUBSTITUTE(TRIM(A19)," ",""))+1)</f>
        <v/>
      </c>
      <c r="C19" s="11" t="inlineStr">
        <is>
          <t>Yes</t>
        </is>
      </c>
      <c r="D19" s="11" t="n">
        <v>45</v>
      </c>
      <c r="E19" s="17" t="inlineStr">
        <is>
          <t>Medium</t>
        </is>
      </c>
      <c r="F19" s="11" t="inlineStr">
        <is>
          <t>R03, R09</t>
        </is>
      </c>
      <c r="G19" s="11" t="inlineStr">
        <is>
          <t>Informational</t>
        </is>
      </c>
      <c r="H19" s="11" t="inlineStr">
        <is>
          <t>T1</t>
        </is>
      </c>
      <c r="I19" s="11" t="n">
        <v>5</v>
      </c>
      <c r="J19" s="12" t="n">
        <v>520</v>
      </c>
      <c r="K19" s="15">
        <f>IF(J19&gt;0,I19/J19,0)</f>
        <v/>
      </c>
      <c r="L19" s="16" t="n">
        <v>12.4</v>
      </c>
      <c r="M19" s="11" t="inlineStr">
        <is>
          <t>11-20</t>
        </is>
      </c>
      <c r="N19" s="11" t="inlineStr"/>
      <c r="O19" s="11" t="inlineStr">
        <is>
          <t>Striking distance: expand + internal links</t>
        </is>
      </c>
      <c r="P19" s="15" t="n">
        <v>0.055</v>
      </c>
      <c r="Q19" s="11">
        <f>IF(H19="",0,MAX(0,ROUND(J19*P19-I19,0)))</f>
        <v/>
      </c>
      <c r="R19" s="11" t="inlineStr"/>
    </row>
    <row r="20">
      <c r="A20" s="11" t="inlineStr">
        <is>
          <t>is epoxy flooring toxic once cured</t>
        </is>
      </c>
      <c r="B20" s="11">
        <f>IF(LEN(TRIM(A20))=0,0,LEN(TRIM(A20))-LEN(SUBSTITUTE(TRIM(A20)," ",""))+1)</f>
        <v/>
      </c>
      <c r="C20" s="11" t="inlineStr">
        <is>
          <t>Yes</t>
        </is>
      </c>
      <c r="D20" s="11" t="n">
        <v>30</v>
      </c>
      <c r="E20" s="17" t="inlineStr">
        <is>
          <t>Medium</t>
        </is>
      </c>
      <c r="F20" s="11" t="inlineStr">
        <is>
          <t>R03</t>
        </is>
      </c>
      <c r="G20" s="11" t="inlineStr">
        <is>
          <t>Informational</t>
        </is>
      </c>
      <c r="H20" s="11" t="inlineStr">
        <is>
          <t>T6</t>
        </is>
      </c>
      <c r="I20" s="11" t="n">
        <v>2</v>
      </c>
      <c r="J20" s="12" t="n">
        <v>520</v>
      </c>
      <c r="K20" s="15">
        <f>IF(J20&gt;0,I20/J20,0)</f>
        <v/>
      </c>
      <c r="L20" s="16" t="n">
        <v>25.8</v>
      </c>
      <c r="M20" s="11" t="inlineStr">
        <is>
          <t>21+</t>
        </is>
      </c>
      <c r="N20" s="11" t="inlineStr"/>
      <c r="O20" s="11" t="inlineStr">
        <is>
          <t>Content gap: new section or page</t>
        </is>
      </c>
      <c r="P20" s="15" t="n">
        <v>0.026</v>
      </c>
      <c r="Q20" s="11">
        <f>IF(H20="",0,MAX(0,ROUND(J20*P20-I20,0)))</f>
        <v/>
      </c>
      <c r="R20" s="11" t="inlineStr"/>
    </row>
    <row r="21">
      <c r="A21" s="11" t="inlineStr">
        <is>
          <t>can i do epoxy flooring myself or should i hire a professional</t>
        </is>
      </c>
      <c r="B21" s="11">
        <f>IF(LEN(TRIM(A21))=0,0,LEN(TRIM(A21))-LEN(SUBSTITUTE(TRIM(A21)," ",""))+1)</f>
        <v/>
      </c>
      <c r="C21" s="11" t="inlineStr">
        <is>
          <t>Yes</t>
        </is>
      </c>
      <c r="D21" s="11" t="n">
        <v>100</v>
      </c>
      <c r="E21" s="14" t="inlineStr">
        <is>
          <t>High</t>
        </is>
      </c>
      <c r="F21" s="11" t="inlineStr">
        <is>
          <t>R01, R03, R05, R07, R09</t>
        </is>
      </c>
      <c r="G21" s="11" t="inlineStr">
        <is>
          <t>Transactional</t>
        </is>
      </c>
      <c r="H21" s="11" t="inlineStr">
        <is>
          <t>T10</t>
        </is>
      </c>
      <c r="I21" s="11" t="n">
        <v>7</v>
      </c>
      <c r="J21" s="12" t="n">
        <v>480</v>
      </c>
      <c r="K21" s="15">
        <f>IF(J21&gt;0,I21/J21,0)</f>
        <v/>
      </c>
      <c r="L21" s="16" t="n">
        <v>10.9</v>
      </c>
      <c r="M21" s="11" t="inlineStr">
        <is>
          <t>11-20</t>
        </is>
      </c>
      <c r="N21" s="11" t="inlineStr"/>
      <c r="O21" s="11" t="inlineStr">
        <is>
          <t>Striking distance: expand + internal links</t>
        </is>
      </c>
      <c r="P21" s="15" t="n">
        <v>0.055</v>
      </c>
      <c r="Q21" s="11">
        <f>IF(H21="",0,MAX(0,ROUND(J21*P21-I21,0)))</f>
        <v/>
      </c>
      <c r="R21" s="11" t="inlineStr"/>
    </row>
    <row r="22">
      <c r="A22" s="11" t="inlineStr">
        <is>
          <t>is epoxy flooring good for a commercial kitchen</t>
        </is>
      </c>
      <c r="B22" s="11">
        <f>IF(LEN(TRIM(A22))=0,0,LEN(TRIM(A22))-LEN(SUBSTITUTE(TRIM(A22)," ",""))+1)</f>
        <v/>
      </c>
      <c r="C22" s="11" t="inlineStr">
        <is>
          <t>Yes</t>
        </is>
      </c>
      <c r="D22" s="11" t="n">
        <v>45</v>
      </c>
      <c r="E22" s="17" t="inlineStr">
        <is>
          <t>Medium</t>
        </is>
      </c>
      <c r="F22" s="11" t="inlineStr">
        <is>
          <t>R02, R03</t>
        </is>
      </c>
      <c r="G22" s="11" t="inlineStr">
        <is>
          <t>Informational</t>
        </is>
      </c>
      <c r="H22" s="11" t="inlineStr">
        <is>
          <t>T9</t>
        </is>
      </c>
      <c r="I22" s="11" t="n">
        <v>5</v>
      </c>
      <c r="J22" s="12" t="n">
        <v>470</v>
      </c>
      <c r="K22" s="15">
        <f>IF(J22&gt;0,I22/J22,0)</f>
        <v/>
      </c>
      <c r="L22" s="16" t="n">
        <v>13.7</v>
      </c>
      <c r="M22" s="11" t="inlineStr">
        <is>
          <t>11-20</t>
        </is>
      </c>
      <c r="N22" s="11" t="inlineStr"/>
      <c r="O22" s="11" t="inlineStr">
        <is>
          <t>Striking distance: expand + internal links</t>
        </is>
      </c>
      <c r="P22" s="15" t="n">
        <v>0.055</v>
      </c>
      <c r="Q22" s="11">
        <f>IF(H22="",0,MAX(0,ROUND(J22*P22-I22,0)))</f>
        <v/>
      </c>
      <c r="R22" s="11" t="inlineStr"/>
    </row>
    <row r="23">
      <c r="A23" s="11" t="inlineStr">
        <is>
          <t>what should you not use on epoxy floors</t>
        </is>
      </c>
      <c r="B23" s="11">
        <f>IF(LEN(TRIM(A23))=0,0,LEN(TRIM(A23))-LEN(SUBSTITUTE(TRIM(A23)," ",""))+1)</f>
        <v/>
      </c>
      <c r="C23" s="11" t="inlineStr">
        <is>
          <t>Yes</t>
        </is>
      </c>
      <c r="D23" s="11" t="n">
        <v>60</v>
      </c>
      <c r="E23" s="14" t="inlineStr">
        <is>
          <t>High</t>
        </is>
      </c>
      <c r="F23" s="11" t="inlineStr">
        <is>
          <t>R02, R03, R09</t>
        </is>
      </c>
      <c r="G23" s="11" t="inlineStr">
        <is>
          <t>Informational</t>
        </is>
      </c>
      <c r="H23" s="11" t="inlineStr">
        <is>
          <t>T10</t>
        </is>
      </c>
      <c r="I23" s="11" t="n">
        <v>30</v>
      </c>
      <c r="J23" s="12" t="n">
        <v>450</v>
      </c>
      <c r="K23" s="15">
        <f>IF(J23&gt;0,I23/J23,0)</f>
        <v/>
      </c>
      <c r="L23" s="16" t="n">
        <v>4.9</v>
      </c>
      <c r="M23" s="11" t="inlineStr">
        <is>
          <t>4-10</t>
        </is>
      </c>
      <c r="N23" s="11" t="inlineStr"/>
      <c r="O23" s="11" t="inlineStr">
        <is>
          <t>Answer upgrade</t>
        </is>
      </c>
      <c r="P23" s="15" t="n">
        <v>0.1</v>
      </c>
      <c r="Q23" s="11">
        <f>IF(H23="",0,MAX(0,ROUND(J23*P23-I23,0)))</f>
        <v/>
      </c>
      <c r="R23" s="11" t="inlineStr"/>
    </row>
    <row r="24">
      <c r="A24" s="11" t="inlineStr">
        <is>
          <t>is epoxy garage flooring worth the money or should i just paint it</t>
        </is>
      </c>
      <c r="B24" s="11">
        <f>IF(LEN(TRIM(A24))=0,0,LEN(TRIM(A24))-LEN(SUBSTITUTE(TRIM(A24)," ",""))+1)</f>
        <v/>
      </c>
      <c r="C24" s="11" t="inlineStr">
        <is>
          <t>Yes</t>
        </is>
      </c>
      <c r="D24" s="11" t="n">
        <v>100</v>
      </c>
      <c r="E24" s="14" t="inlineStr">
        <is>
          <t>High</t>
        </is>
      </c>
      <c r="F24" s="11" t="inlineStr">
        <is>
          <t>R01, R03, R05, R09</t>
        </is>
      </c>
      <c r="G24" s="11" t="inlineStr">
        <is>
          <t>Commercial</t>
        </is>
      </c>
      <c r="H24" s="11" t="inlineStr">
        <is>
          <t>T3</t>
        </is>
      </c>
      <c r="I24" s="11" t="n">
        <v>12</v>
      </c>
      <c r="J24" s="12" t="n">
        <v>420</v>
      </c>
      <c r="K24" s="15">
        <f>IF(J24&gt;0,I24/J24,0)</f>
        <v/>
      </c>
      <c r="L24" s="16" t="n">
        <v>6.8</v>
      </c>
      <c r="M24" s="11" t="inlineStr">
        <is>
          <t>4-10</t>
        </is>
      </c>
      <c r="N24" s="11" t="inlineStr"/>
      <c r="O24" s="11" t="inlineStr">
        <is>
          <t>Answer upgrade</t>
        </is>
      </c>
      <c r="P24" s="15" t="n">
        <v>0.1</v>
      </c>
      <c r="Q24" s="11">
        <f>IF(H24="",0,MAX(0,ROUND(J24*P24-I24,0)))</f>
        <v/>
      </c>
      <c r="R24" s="11" t="inlineStr"/>
    </row>
    <row r="25">
      <c r="A25" s="11" t="inlineStr">
        <is>
          <t>does epoxy flooring add value to a house when selling</t>
        </is>
      </c>
      <c r="B25" s="11">
        <f>IF(LEN(TRIM(A25))=0,0,LEN(TRIM(A25))-LEN(SUBSTITUTE(TRIM(A25)," ",""))+1)</f>
        <v/>
      </c>
      <c r="C25" s="11" t="inlineStr">
        <is>
          <t>Yes</t>
        </is>
      </c>
      <c r="D25" s="11" t="n">
        <v>65</v>
      </c>
      <c r="E25" s="14" t="inlineStr">
        <is>
          <t>High</t>
        </is>
      </c>
      <c r="F25" s="11" t="inlineStr">
        <is>
          <t>R01, R03</t>
        </is>
      </c>
      <c r="G25" s="11" t="inlineStr">
        <is>
          <t>Informational</t>
        </is>
      </c>
      <c r="H25" s="11" t="inlineStr">
        <is>
          <t>T10</t>
        </is>
      </c>
      <c r="I25" s="11" t="n">
        <v>2</v>
      </c>
      <c r="J25" s="12" t="n">
        <v>410</v>
      </c>
      <c r="K25" s="15">
        <f>IF(J25&gt;0,I25/J25,0)</f>
        <v/>
      </c>
      <c r="L25" s="16" t="n">
        <v>23.7</v>
      </c>
      <c r="M25" s="11" t="inlineStr">
        <is>
          <t>21+</t>
        </is>
      </c>
      <c r="N25" s="11" t="inlineStr"/>
      <c r="O25" s="11" t="inlineStr">
        <is>
          <t>Content gap: new section or page</t>
        </is>
      </c>
      <c r="P25" s="15" t="n">
        <v>0.026</v>
      </c>
      <c r="Q25" s="11">
        <f>IF(H25="",0,MAX(0,ROUND(J25*P25-I25,0)))</f>
        <v/>
      </c>
      <c r="R25" s="11" t="inlineStr"/>
    </row>
    <row r="26">
      <c r="A26" s="11" t="inlineStr">
        <is>
          <t>why does diy epoxy peel off garage floors</t>
        </is>
      </c>
      <c r="B26" s="11">
        <f>IF(LEN(TRIM(A26))=0,0,LEN(TRIM(A26))-LEN(SUBSTITUTE(TRIM(A26)," ",""))+1)</f>
        <v/>
      </c>
      <c r="C26" s="11" t="inlineStr">
        <is>
          <t>Yes</t>
        </is>
      </c>
      <c r="D26" s="11" t="n">
        <v>60</v>
      </c>
      <c r="E26" s="14" t="inlineStr">
        <is>
          <t>High</t>
        </is>
      </c>
      <c r="F26" s="11" t="inlineStr">
        <is>
          <t>R02, R03, R09</t>
        </is>
      </c>
      <c r="G26" s="11" t="inlineStr">
        <is>
          <t>Informational</t>
        </is>
      </c>
      <c r="H26" s="11" t="inlineStr">
        <is>
          <t>T5</t>
        </is>
      </c>
      <c r="I26" s="11" t="n">
        <v>8</v>
      </c>
      <c r="J26" s="12" t="n">
        <v>390</v>
      </c>
      <c r="K26" s="15">
        <f>IF(J26&gt;0,I26/J26,0)</f>
        <v/>
      </c>
      <c r="L26" s="16" t="n">
        <v>9.4</v>
      </c>
      <c r="M26" s="11" t="inlineStr">
        <is>
          <t>4-10</t>
        </is>
      </c>
      <c r="N26" s="11" t="inlineStr"/>
      <c r="O26" s="11" t="inlineStr">
        <is>
          <t>Answer upgrade</t>
        </is>
      </c>
      <c r="P26" s="15" t="n">
        <v>0.1</v>
      </c>
      <c r="Q26" s="11">
        <f>IF(H26="",0,MAX(0,ROUND(J26*P26-I26,0)))</f>
        <v/>
      </c>
      <c r="R26" s="11" t="inlineStr"/>
    </row>
    <row r="27">
      <c r="A27" s="11" t="inlineStr">
        <is>
          <t>how much should i pay for epoxy flooring on the gold coast</t>
        </is>
      </c>
      <c r="B27" s="11">
        <f>IF(LEN(TRIM(A27))=0,0,LEN(TRIM(A27))-LEN(SUBSTITUTE(TRIM(A27)," ",""))+1)</f>
        <v/>
      </c>
      <c r="C27" s="11" t="inlineStr">
        <is>
          <t>Yes</t>
        </is>
      </c>
      <c r="D27" s="11" t="n">
        <v>100</v>
      </c>
      <c r="E27" s="14" t="inlineStr">
        <is>
          <t>High</t>
        </is>
      </c>
      <c r="F27" s="11" t="inlineStr">
        <is>
          <t>R01, R03, R05, R09</t>
        </is>
      </c>
      <c r="G27" s="11" t="inlineStr">
        <is>
          <t>Local</t>
        </is>
      </c>
      <c r="H27" s="11" t="inlineStr">
        <is>
          <t>T1</t>
        </is>
      </c>
      <c r="I27" s="11" t="n">
        <v>8</v>
      </c>
      <c r="J27" s="12" t="n">
        <v>380</v>
      </c>
      <c r="K27" s="15">
        <f>IF(J27&gt;0,I27/J27,0)</f>
        <v/>
      </c>
      <c r="L27" s="16" t="n">
        <v>7.2</v>
      </c>
      <c r="M27" s="11" t="inlineStr">
        <is>
          <t>4-10</t>
        </is>
      </c>
      <c r="N27" s="11" t="inlineStr"/>
      <c r="O27" s="11" t="inlineStr">
        <is>
          <t>Answer upgrade</t>
        </is>
      </c>
      <c r="P27" s="15" t="n">
        <v>0.1</v>
      </c>
      <c r="Q27" s="11">
        <f>IF(H27="",0,MAX(0,ROUND(J27*P27-I27,0)))</f>
        <v/>
      </c>
      <c r="R27" s="11" t="inlineStr"/>
    </row>
    <row r="28">
      <c r="A28" s="11" t="inlineStr">
        <is>
          <t>which is better flake or metallic epoxy for a garage</t>
        </is>
      </c>
      <c r="B28" s="11">
        <f>IF(LEN(TRIM(A28))=0,0,LEN(TRIM(A28))-LEN(SUBSTITUTE(TRIM(A28)," ",""))+1)</f>
        <v/>
      </c>
      <c r="C28" s="11" t="inlineStr">
        <is>
          <t>Yes</t>
        </is>
      </c>
      <c r="D28" s="11" t="n">
        <v>80</v>
      </c>
      <c r="E28" s="14" t="inlineStr">
        <is>
          <t>High</t>
        </is>
      </c>
      <c r="F28" s="11" t="inlineStr">
        <is>
          <t>R01, R03, R06</t>
        </is>
      </c>
      <c r="G28" s="11" t="inlineStr">
        <is>
          <t>Commercial</t>
        </is>
      </c>
      <c r="H28" s="11" t="inlineStr">
        <is>
          <t>T3</t>
        </is>
      </c>
      <c r="I28" s="11" t="n">
        <v>9</v>
      </c>
      <c r="J28" s="12" t="n">
        <v>360</v>
      </c>
      <c r="K28" s="15">
        <f>IF(J28&gt;0,I28/J28,0)</f>
        <v/>
      </c>
      <c r="L28" s="16" t="n">
        <v>9.1</v>
      </c>
      <c r="M28" s="11" t="inlineStr">
        <is>
          <t>4-10</t>
        </is>
      </c>
      <c r="N28" s="11" t="inlineStr"/>
      <c r="O28" s="11" t="inlineStr">
        <is>
          <t>Answer upgrade</t>
        </is>
      </c>
      <c r="P28" s="15" t="n">
        <v>0.1</v>
      </c>
      <c r="Q28" s="11">
        <f>IF(H28="",0,MAX(0,ROUND(J28*P28-I28,0)))</f>
        <v/>
      </c>
      <c r="R28" s="11" t="inlineStr"/>
    </row>
    <row r="29">
      <c r="A29" s="11" t="inlineStr">
        <is>
          <t>can you epoxy a pool deck or outdoor patio</t>
        </is>
      </c>
      <c r="B29" s="11">
        <f>IF(LEN(TRIM(A29))=0,0,LEN(TRIM(A29))-LEN(SUBSTITUTE(TRIM(A29)," ",""))+1)</f>
        <v/>
      </c>
      <c r="C29" s="11" t="inlineStr">
        <is>
          <t>Yes</t>
        </is>
      </c>
      <c r="D29" s="11" t="n">
        <v>75</v>
      </c>
      <c r="E29" s="14" t="inlineStr">
        <is>
          <t>High</t>
        </is>
      </c>
      <c r="F29" s="11" t="inlineStr">
        <is>
          <t>R02, R03, R04</t>
        </is>
      </c>
      <c r="G29" s="11" t="inlineStr">
        <is>
          <t>Informational</t>
        </is>
      </c>
      <c r="H29" s="11" t="inlineStr">
        <is>
          <t>T7</t>
        </is>
      </c>
      <c r="I29" s="11" t="n">
        <v>1</v>
      </c>
      <c r="J29" s="12" t="n">
        <v>350</v>
      </c>
      <c r="K29" s="15">
        <f>IF(J29&gt;0,I29/J29,0)</f>
        <v/>
      </c>
      <c r="L29" s="16" t="n">
        <v>31</v>
      </c>
      <c r="M29" s="11" t="inlineStr">
        <is>
          <t>21+</t>
        </is>
      </c>
      <c r="N29" s="11" t="inlineStr"/>
      <c r="O29" s="11" t="inlineStr">
        <is>
          <t>Content gap: new section or page</t>
        </is>
      </c>
      <c r="P29" s="15" t="n">
        <v>0.026</v>
      </c>
      <c r="Q29" s="11">
        <f>IF(H29="",0,MAX(0,ROUND(J29*P29-I29,0)))</f>
        <v/>
      </c>
      <c r="R29" s="11" t="inlineStr"/>
    </row>
    <row r="30">
      <c r="A30" s="11" t="inlineStr">
        <is>
          <t>should i fix cracks in concrete before epoxy</t>
        </is>
      </c>
      <c r="B30" s="11">
        <f>IF(LEN(TRIM(A30))=0,0,LEN(TRIM(A30))-LEN(SUBSTITUTE(TRIM(A30)," ",""))+1)</f>
        <v/>
      </c>
      <c r="C30" s="11" t="inlineStr">
        <is>
          <t>Yes</t>
        </is>
      </c>
      <c r="D30" s="11" t="n">
        <v>80</v>
      </c>
      <c r="E30" s="14" t="inlineStr">
        <is>
          <t>High</t>
        </is>
      </c>
      <c r="F30" s="11" t="inlineStr">
        <is>
          <t>R02, R03, R05, R09</t>
        </is>
      </c>
      <c r="G30" s="11" t="inlineStr">
        <is>
          <t>Informational</t>
        </is>
      </c>
      <c r="H30" s="11" t="inlineStr">
        <is>
          <t>T5</t>
        </is>
      </c>
      <c r="I30" s="11" t="n">
        <v>4</v>
      </c>
      <c r="J30" s="12" t="n">
        <v>340</v>
      </c>
      <c r="K30" s="15">
        <f>IF(J30&gt;0,I30/J30,0)</f>
        <v/>
      </c>
      <c r="L30" s="16" t="n">
        <v>13</v>
      </c>
      <c r="M30" s="11" t="inlineStr">
        <is>
          <t>11-20</t>
        </is>
      </c>
      <c r="N30" s="11" t="inlineStr"/>
      <c r="O30" s="11" t="inlineStr">
        <is>
          <t>Striking distance: expand + internal links</t>
        </is>
      </c>
      <c r="P30" s="15" t="n">
        <v>0.055</v>
      </c>
      <c r="Q30" s="11">
        <f>IF(H30="",0,MAX(0,ROUND(J30*P30-I30,0)))</f>
        <v/>
      </c>
      <c r="R30" s="11" t="inlineStr"/>
    </row>
    <row r="31">
      <c r="A31" s="11" t="inlineStr">
        <is>
          <t>how long does epoxy take to cure before parking a car</t>
        </is>
      </c>
      <c r="B31" s="11">
        <f>IF(LEN(TRIM(A31))=0,0,LEN(TRIM(A31))-LEN(SUBSTITUTE(TRIM(A31)," ",""))+1)</f>
        <v/>
      </c>
      <c r="C31" s="11" t="inlineStr">
        <is>
          <t>Yes</t>
        </is>
      </c>
      <c r="D31" s="11" t="n">
        <v>80</v>
      </c>
      <c r="E31" s="14" t="inlineStr">
        <is>
          <t>High</t>
        </is>
      </c>
      <c r="F31" s="11" t="inlineStr">
        <is>
          <t>R01, R03, R09</t>
        </is>
      </c>
      <c r="G31" s="11" t="inlineStr">
        <is>
          <t>Informational</t>
        </is>
      </c>
      <c r="H31" s="11" t="inlineStr">
        <is>
          <t>T2</t>
        </is>
      </c>
      <c r="I31" s="11" t="n">
        <v>5</v>
      </c>
      <c r="J31" s="12" t="n">
        <v>330</v>
      </c>
      <c r="K31" s="15">
        <f>IF(J31&gt;0,I31/J31,0)</f>
        <v/>
      </c>
      <c r="L31" s="16" t="n">
        <v>4.4</v>
      </c>
      <c r="M31" s="11" t="inlineStr">
        <is>
          <t>4-10</t>
        </is>
      </c>
      <c r="N31" s="11" t="inlineStr">
        <is>
          <t>Yes</t>
        </is>
      </c>
      <c r="O31" s="11" t="inlineStr">
        <is>
          <t>Win the AI citation (answer is likely summarised)</t>
        </is>
      </c>
      <c r="P31" s="15" t="n">
        <v>0.1</v>
      </c>
      <c r="Q31" s="11">
        <f>IF(H31="",0,MAX(0,ROUND(J31*P31-I31,0)))</f>
        <v/>
      </c>
      <c r="R31" s="11" t="inlineStr"/>
    </row>
    <row r="32">
      <c r="A32" s="11" t="inlineStr">
        <is>
          <t>can i use vinegar to clean my epoxy floor</t>
        </is>
      </c>
      <c r="B32" s="11">
        <f>IF(LEN(TRIM(A32))=0,0,LEN(TRIM(A32))-LEN(SUBSTITUTE(TRIM(A32)," ",""))+1)</f>
        <v/>
      </c>
      <c r="C32" s="11" t="inlineStr">
        <is>
          <t>Yes</t>
        </is>
      </c>
      <c r="D32" s="11" t="n">
        <v>80</v>
      </c>
      <c r="E32" s="14" t="inlineStr">
        <is>
          <t>High</t>
        </is>
      </c>
      <c r="F32" s="11" t="inlineStr">
        <is>
          <t>R02, R03, R05, R09</t>
        </is>
      </c>
      <c r="G32" s="11" t="inlineStr">
        <is>
          <t>Informational</t>
        </is>
      </c>
      <c r="H32" s="11" t="inlineStr">
        <is>
          <t>T4</t>
        </is>
      </c>
      <c r="I32" s="11" t="n">
        <v>15</v>
      </c>
      <c r="J32" s="12" t="n">
        <v>310</v>
      </c>
      <c r="K32" s="15">
        <f>IF(J32&gt;0,I32/J32,0)</f>
        <v/>
      </c>
      <c r="L32" s="16" t="n">
        <v>3.8</v>
      </c>
      <c r="M32" s="11" t="inlineStr">
        <is>
          <t>4-10</t>
        </is>
      </c>
      <c r="N32" s="11" t="inlineStr"/>
      <c r="O32" s="11" t="inlineStr">
        <is>
          <t>Answer upgrade</t>
        </is>
      </c>
      <c r="P32" s="15" t="n">
        <v>0.1</v>
      </c>
      <c r="Q32" s="11">
        <f>IF(H32="",0,MAX(0,ROUND(J32*P32-I32,0)))</f>
        <v/>
      </c>
      <c r="R32" s="11" t="inlineStr"/>
    </row>
    <row r="33">
      <c r="A33" s="11" t="inlineStr">
        <is>
          <t>how to remove tyre marks from epoxy garage floor</t>
        </is>
      </c>
      <c r="B33" s="11">
        <f>IF(LEN(TRIM(A33))=0,0,LEN(TRIM(A33))-LEN(SUBSTITUTE(TRIM(A33)," ",""))+1)</f>
        <v/>
      </c>
      <c r="C33" s="11" t="inlineStr">
        <is>
          <t>Yes</t>
        </is>
      </c>
      <c r="D33" s="11" t="n">
        <v>60</v>
      </c>
      <c r="E33" s="14" t="inlineStr">
        <is>
          <t>High</t>
        </is>
      </c>
      <c r="F33" s="11" t="inlineStr">
        <is>
          <t>R02, R03, R09</t>
        </is>
      </c>
      <c r="G33" s="11" t="inlineStr">
        <is>
          <t>Informational</t>
        </is>
      </c>
      <c r="H33" s="11" t="inlineStr">
        <is>
          <t>T4</t>
        </is>
      </c>
      <c r="I33" s="11" t="n">
        <v>9</v>
      </c>
      <c r="J33" s="12" t="n">
        <v>290</v>
      </c>
      <c r="K33" s="15">
        <f>IF(J33&gt;0,I33/J33,0)</f>
        <v/>
      </c>
      <c r="L33" s="16" t="n">
        <v>7.7</v>
      </c>
      <c r="M33" s="11" t="inlineStr">
        <is>
          <t>4-10</t>
        </is>
      </c>
      <c r="N33" s="11" t="inlineStr"/>
      <c r="O33" s="11" t="inlineStr">
        <is>
          <t>Answer upgrade</t>
        </is>
      </c>
      <c r="P33" s="15" t="n">
        <v>0.1</v>
      </c>
      <c r="Q33" s="11">
        <f>IF(H33="",0,MAX(0,ROUND(J33*P33-I33,0)))</f>
        <v/>
      </c>
      <c r="R33" s="11" t="inlineStr"/>
    </row>
    <row r="34">
      <c r="A34" s="11" t="inlineStr">
        <is>
          <t>why is my epoxy floor peeling after one year</t>
        </is>
      </c>
      <c r="B34" s="11">
        <f>IF(LEN(TRIM(A34))=0,0,LEN(TRIM(A34))-LEN(SUBSTITUTE(TRIM(A34)," ",""))+1)</f>
        <v/>
      </c>
      <c r="C34" s="11" t="inlineStr">
        <is>
          <t>Yes</t>
        </is>
      </c>
      <c r="D34" s="11" t="n">
        <v>80</v>
      </c>
      <c r="E34" s="14" t="inlineStr">
        <is>
          <t>High</t>
        </is>
      </c>
      <c r="F34" s="11" t="inlineStr">
        <is>
          <t>R02, R03, R05, R09</t>
        </is>
      </c>
      <c r="G34" s="11" t="inlineStr">
        <is>
          <t>Informational</t>
        </is>
      </c>
      <c r="H34" s="11" t="inlineStr">
        <is>
          <t>T5</t>
        </is>
      </c>
      <c r="I34" s="11" t="n">
        <v>1</v>
      </c>
      <c r="J34" s="12" t="n">
        <v>270</v>
      </c>
      <c r="K34" s="15">
        <f>IF(J34&gt;0,I34/J34,0)</f>
        <v/>
      </c>
      <c r="L34" s="16" t="n">
        <v>22</v>
      </c>
      <c r="M34" s="11" t="inlineStr">
        <is>
          <t>21+</t>
        </is>
      </c>
      <c r="N34" s="11" t="inlineStr"/>
      <c r="O34" s="11" t="inlineStr">
        <is>
          <t>Content gap: new section or page</t>
        </is>
      </c>
      <c r="P34" s="15" t="n">
        <v>0.026</v>
      </c>
      <c r="Q34" s="11">
        <f>IF(H34="",0,MAX(0,ROUND(J34*P34-I34,0)))</f>
        <v/>
      </c>
      <c r="R34" s="11" t="inlineStr"/>
    </row>
    <row r="35">
      <c r="A35" s="11" t="inlineStr">
        <is>
          <t>how thick should an epoxy garage floor be</t>
        </is>
      </c>
      <c r="B35" s="11">
        <f>IF(LEN(TRIM(A35))=0,0,LEN(TRIM(A35))-LEN(SUBSTITUTE(TRIM(A35)," ",""))+1)</f>
        <v/>
      </c>
      <c r="C35" s="11" t="inlineStr">
        <is>
          <t>Yes</t>
        </is>
      </c>
      <c r="D35" s="11" t="n">
        <v>45</v>
      </c>
      <c r="E35" s="17" t="inlineStr">
        <is>
          <t>Medium</t>
        </is>
      </c>
      <c r="F35" s="11" t="inlineStr">
        <is>
          <t>R02, R03</t>
        </is>
      </c>
      <c r="G35" s="11" t="inlineStr">
        <is>
          <t>Informational</t>
        </is>
      </c>
      <c r="H35" s="11" t="inlineStr">
        <is>
          <t>T7</t>
        </is>
      </c>
      <c r="I35" s="11" t="n">
        <v>5</v>
      </c>
      <c r="J35" s="12" t="n">
        <v>270</v>
      </c>
      <c r="K35" s="15">
        <f>IF(J35&gt;0,I35/J35,0)</f>
        <v/>
      </c>
      <c r="L35" s="16" t="n">
        <v>9.6</v>
      </c>
      <c r="M35" s="11" t="inlineStr">
        <is>
          <t>4-10</t>
        </is>
      </c>
      <c r="N35" s="11" t="inlineStr"/>
      <c r="O35" s="11" t="inlineStr">
        <is>
          <t>Answer upgrade</t>
        </is>
      </c>
      <c r="P35" s="15" t="n">
        <v>0.1</v>
      </c>
      <c r="Q35" s="11">
        <f>IF(H35="",0,MAX(0,ROUND(J35*P35-I35,0)))</f>
        <v/>
      </c>
      <c r="R35" s="11" t="inlineStr"/>
    </row>
    <row r="36">
      <c r="A36" s="11" t="inlineStr">
        <is>
          <t>what affects the price of epoxy flooring</t>
        </is>
      </c>
      <c r="B36" s="11">
        <f>IF(LEN(TRIM(A36))=0,0,LEN(TRIM(A36))-LEN(SUBSTITUTE(TRIM(A36)," ",""))+1)</f>
        <v/>
      </c>
      <c r="C36" s="11" t="inlineStr">
        <is>
          <t>Yes</t>
        </is>
      </c>
      <c r="D36" s="11" t="n">
        <v>45</v>
      </c>
      <c r="E36" s="17" t="inlineStr">
        <is>
          <t>Medium</t>
        </is>
      </c>
      <c r="F36" s="11" t="inlineStr">
        <is>
          <t>R02, R03</t>
        </is>
      </c>
      <c r="G36" s="11" t="inlineStr">
        <is>
          <t>Transactional</t>
        </is>
      </c>
      <c r="H36" s="11" t="inlineStr">
        <is>
          <t>T1</t>
        </is>
      </c>
      <c r="I36" s="11" t="n">
        <v>2</v>
      </c>
      <c r="J36" s="12" t="n">
        <v>260</v>
      </c>
      <c r="K36" s="15">
        <f>IF(J36&gt;0,I36/J36,0)</f>
        <v/>
      </c>
      <c r="L36" s="16" t="n">
        <v>14.1</v>
      </c>
      <c r="M36" s="11" t="inlineStr">
        <is>
          <t>11-20</t>
        </is>
      </c>
      <c r="N36" s="11" t="inlineStr"/>
      <c r="O36" s="11" t="inlineStr">
        <is>
          <t>Striking distance: expand + internal links</t>
        </is>
      </c>
      <c r="P36" s="15" t="n">
        <v>0.055</v>
      </c>
      <c r="Q36" s="11">
        <f>IF(H36="",0,MAX(0,ROUND(J36*P36-I36,0)))</f>
        <v/>
      </c>
      <c r="R36" s="11" t="inlineStr"/>
    </row>
    <row r="37">
      <c r="A37" s="11" t="inlineStr">
        <is>
          <t>what colour epoxy floor hides dirt best</t>
        </is>
      </c>
      <c r="B37" s="11">
        <f>IF(LEN(TRIM(A37))=0,0,LEN(TRIM(A37))-LEN(SUBSTITUTE(TRIM(A37)," ",""))+1)</f>
        <v/>
      </c>
      <c r="C37" s="11" t="inlineStr">
        <is>
          <t>Yes</t>
        </is>
      </c>
      <c r="D37" s="11" t="n">
        <v>55</v>
      </c>
      <c r="E37" s="14" t="inlineStr">
        <is>
          <t>High</t>
        </is>
      </c>
      <c r="F37" s="11" t="inlineStr">
        <is>
          <t>R02, R03, R07</t>
        </is>
      </c>
      <c r="G37" s="11" t="inlineStr">
        <is>
          <t>Commercial</t>
        </is>
      </c>
      <c r="H37" s="11" t="inlineStr">
        <is>
          <t>T3</t>
        </is>
      </c>
      <c r="I37" s="11" t="n">
        <v>2</v>
      </c>
      <c r="J37" s="12" t="n">
        <v>240</v>
      </c>
      <c r="K37" s="15">
        <f>IF(J37&gt;0,I37/J37,0)</f>
        <v/>
      </c>
      <c r="L37" s="16" t="n">
        <v>15.5</v>
      </c>
      <c r="M37" s="11" t="inlineStr">
        <is>
          <t>11-20</t>
        </is>
      </c>
      <c r="N37" s="11" t="inlineStr"/>
      <c r="O37" s="11" t="inlineStr">
        <is>
          <t>Striking distance: expand + internal links</t>
        </is>
      </c>
      <c r="P37" s="15" t="n">
        <v>0.055</v>
      </c>
      <c r="Q37" s="11">
        <f>IF(H37="",0,MAX(0,ROUND(J37*P37-I37,0)))</f>
        <v/>
      </c>
      <c r="R37" s="11" t="inlineStr"/>
    </row>
    <row r="38">
      <c r="A38" s="11" t="inlineStr">
        <is>
          <t>how do i make my epoxy floor less slippery</t>
        </is>
      </c>
      <c r="B38" s="11">
        <f>IF(LEN(TRIM(A38))=0,0,LEN(TRIM(A38))-LEN(SUBSTITUTE(TRIM(A38)," ",""))+1)</f>
        <v/>
      </c>
      <c r="C38" s="11" t="inlineStr">
        <is>
          <t>Yes</t>
        </is>
      </c>
      <c r="D38" s="11" t="n">
        <v>80</v>
      </c>
      <c r="E38" s="14" t="inlineStr">
        <is>
          <t>High</t>
        </is>
      </c>
      <c r="F38" s="11" t="inlineStr">
        <is>
          <t>R02, R03, R05, R09</t>
        </is>
      </c>
      <c r="G38" s="11" t="inlineStr">
        <is>
          <t>Informational</t>
        </is>
      </c>
      <c r="H38" s="11" t="inlineStr">
        <is>
          <t>T6</t>
        </is>
      </c>
      <c r="I38" s="11" t="n">
        <v>1</v>
      </c>
      <c r="J38" s="12" t="n">
        <v>230</v>
      </c>
      <c r="K38" s="15">
        <f>IF(J38&gt;0,I38/J38,0)</f>
        <v/>
      </c>
      <c r="L38" s="16" t="n">
        <v>18.5</v>
      </c>
      <c r="M38" s="11" t="inlineStr">
        <is>
          <t>11-20</t>
        </is>
      </c>
      <c r="N38" s="11" t="inlineStr"/>
      <c r="O38" s="11" t="inlineStr">
        <is>
          <t>Striking distance: expand + internal links</t>
        </is>
      </c>
      <c r="P38" s="15" t="n">
        <v>0.055</v>
      </c>
      <c r="Q38" s="11">
        <f>IF(H38="",0,MAX(0,ROUND(J38*P38-I38,0)))</f>
        <v/>
      </c>
      <c r="R38" s="11" t="inlineStr"/>
    </row>
    <row r="39">
      <c r="A39" s="11" t="inlineStr">
        <is>
          <t>what is commercial epoxy flooring used for</t>
        </is>
      </c>
      <c r="B39" s="11">
        <f>IF(LEN(TRIM(A39))=0,0,LEN(TRIM(A39))-LEN(SUBSTITUTE(TRIM(A39)," ",""))+1)</f>
        <v/>
      </c>
      <c r="C39" s="11" t="inlineStr">
        <is>
          <t>Yes</t>
        </is>
      </c>
      <c r="D39" s="11" t="n">
        <v>60</v>
      </c>
      <c r="E39" s="14" t="inlineStr">
        <is>
          <t>High</t>
        </is>
      </c>
      <c r="F39" s="11" t="inlineStr">
        <is>
          <t>R02, R03, R09</t>
        </is>
      </c>
      <c r="G39" s="11" t="inlineStr">
        <is>
          <t>Informational</t>
        </is>
      </c>
      <c r="H39" s="11" t="inlineStr">
        <is>
          <t>T9</t>
        </is>
      </c>
      <c r="I39" s="11" t="n">
        <v>1</v>
      </c>
      <c r="J39" s="12" t="n">
        <v>210</v>
      </c>
      <c r="K39" s="15">
        <f>IF(J39&gt;0,I39/J39,0)</f>
        <v/>
      </c>
      <c r="L39" s="16" t="n">
        <v>17.8</v>
      </c>
      <c r="M39" s="11" t="inlineStr">
        <is>
          <t>11-20</t>
        </is>
      </c>
      <c r="N39" s="11" t="inlineStr"/>
      <c r="O39" s="11" t="inlineStr">
        <is>
          <t>Striking distance: expand + internal links</t>
        </is>
      </c>
      <c r="P39" s="15" t="n">
        <v>0.055</v>
      </c>
      <c r="Q39" s="11">
        <f>IF(H39="",0,MAX(0,ROUND(J39*P39-I39,0)))</f>
        <v/>
      </c>
      <c r="R39" s="11" t="inlineStr"/>
    </row>
    <row r="40">
      <c r="A40" s="11" t="inlineStr">
        <is>
          <t>i have cracks in my garage floor can i still get epoxy coating</t>
        </is>
      </c>
      <c r="B40" s="11">
        <f>IF(LEN(TRIM(A40))=0,0,LEN(TRIM(A40))-LEN(SUBSTITUTE(TRIM(A40)," ",""))+1)</f>
        <v/>
      </c>
      <c r="C40" s="11" t="inlineStr">
        <is>
          <t>Yes</t>
        </is>
      </c>
      <c r="D40" s="11" t="n">
        <v>70</v>
      </c>
      <c r="E40" s="14" t="inlineStr">
        <is>
          <t>High</t>
        </is>
      </c>
      <c r="F40" s="11" t="inlineStr">
        <is>
          <t>R01, R05, R09</t>
        </is>
      </c>
      <c r="G40" s="11" t="inlineStr">
        <is>
          <t>Informational</t>
        </is>
      </c>
      <c r="H40" s="11" t="inlineStr">
        <is>
          <t>T5</t>
        </is>
      </c>
      <c r="I40" s="11" t="n">
        <v>1</v>
      </c>
      <c r="J40" s="12" t="n">
        <v>190</v>
      </c>
      <c r="K40" s="15">
        <f>IF(J40&gt;0,I40/J40,0)</f>
        <v/>
      </c>
      <c r="L40" s="16" t="n">
        <v>15.2</v>
      </c>
      <c r="M40" s="11" t="inlineStr">
        <is>
          <t>11-20</t>
        </is>
      </c>
      <c r="N40" s="11" t="inlineStr"/>
      <c r="O40" s="11" t="inlineStr">
        <is>
          <t>Striking distance: expand + internal links</t>
        </is>
      </c>
      <c r="P40" s="15" t="n">
        <v>0.055</v>
      </c>
      <c r="Q40" s="11">
        <f>IF(H40="",0,MAX(0,ROUND(J40*P40-I40,0)))</f>
        <v/>
      </c>
      <c r="R40" s="11" t="inlineStr"/>
    </row>
    <row r="41">
      <c r="A41" s="11" t="inlineStr">
        <is>
          <t>does epoxy flooring meet food safety standards in australia</t>
        </is>
      </c>
      <c r="B41" s="11">
        <f>IF(LEN(TRIM(A41))=0,0,LEN(TRIM(A41))-LEN(SUBSTITUTE(TRIM(A41)," ",""))+1)</f>
        <v/>
      </c>
      <c r="C41" s="11" t="inlineStr">
        <is>
          <t>Yes</t>
        </is>
      </c>
      <c r="D41" s="11" t="n">
        <v>45</v>
      </c>
      <c r="E41" s="17" t="inlineStr">
        <is>
          <t>Medium</t>
        </is>
      </c>
      <c r="F41" s="11" t="inlineStr">
        <is>
          <t>R02, R03</t>
        </is>
      </c>
      <c r="G41" s="11" t="inlineStr">
        <is>
          <t>Informational</t>
        </is>
      </c>
      <c r="H41" s="11" t="inlineStr">
        <is>
          <t>T6</t>
        </is>
      </c>
      <c r="I41" s="11" t="n">
        <v>1</v>
      </c>
      <c r="J41" s="12" t="n">
        <v>180</v>
      </c>
      <c r="K41" s="15">
        <f>IF(J41&gt;0,I41/J41,0)</f>
        <v/>
      </c>
      <c r="L41" s="16" t="n">
        <v>21.3</v>
      </c>
      <c r="M41" s="11" t="inlineStr">
        <is>
          <t>21+</t>
        </is>
      </c>
      <c r="N41" s="11" t="inlineStr"/>
      <c r="O41" s="11" t="inlineStr">
        <is>
          <t>Content gap: new section or page</t>
        </is>
      </c>
      <c r="P41" s="15" t="n">
        <v>0.026</v>
      </c>
      <c r="Q41" s="11">
        <f>IF(H41="",0,MAX(0,ROUND(J41*P41-I41,0)))</f>
        <v/>
      </c>
      <c r="R41" s="11" t="inlineStr"/>
    </row>
    <row r="42">
      <c r="A42" s="11" t="inlineStr">
        <is>
          <t>explain the steps of applying epoxy flooring</t>
        </is>
      </c>
      <c r="B42" s="11">
        <f>IF(LEN(TRIM(A42))=0,0,LEN(TRIM(A42))-LEN(SUBSTITUTE(TRIM(A42)," ",""))+1)</f>
        <v/>
      </c>
      <c r="C42" s="11" t="inlineStr">
        <is>
          <t>Yes</t>
        </is>
      </c>
      <c r="D42" s="11" t="n">
        <v>45</v>
      </c>
      <c r="E42" s="17" t="inlineStr">
        <is>
          <t>Medium</t>
        </is>
      </c>
      <c r="F42" s="11" t="inlineStr">
        <is>
          <t>R02, R04</t>
        </is>
      </c>
      <c r="G42" s="11" t="inlineStr">
        <is>
          <t>Informational</t>
        </is>
      </c>
      <c r="H42" s="11" t="inlineStr">
        <is>
          <t>T7</t>
        </is>
      </c>
      <c r="I42" s="11" t="n">
        <v>1</v>
      </c>
      <c r="J42" s="12" t="n">
        <v>160</v>
      </c>
      <c r="K42" s="15">
        <f>IF(J42&gt;0,I42/J42,0)</f>
        <v/>
      </c>
      <c r="L42" s="16" t="n">
        <v>14.6</v>
      </c>
      <c r="M42" s="11" t="inlineStr">
        <is>
          <t>11-20</t>
        </is>
      </c>
      <c r="N42" s="11" t="inlineStr"/>
      <c r="O42" s="11" t="inlineStr">
        <is>
          <t>Striking distance: expand + internal links</t>
        </is>
      </c>
      <c r="P42" s="15" t="n">
        <v>0.055</v>
      </c>
      <c r="Q42" s="11">
        <f>IF(H42="",0,MAX(0,ROUND(J42*P42-I42,0)))</f>
        <v/>
      </c>
      <c r="R42" s="11" t="inlineStr"/>
    </row>
    <row r="43">
      <c r="A43" s="11" t="inlineStr">
        <is>
          <t>should i choose epoxy or polished concrete for my house in a humid climate</t>
        </is>
      </c>
      <c r="B43" s="11">
        <f>IF(LEN(TRIM(A43))=0,0,LEN(TRIM(A43))-LEN(SUBSTITUTE(TRIM(A43)," ",""))+1)</f>
        <v/>
      </c>
      <c r="C43" s="11" t="inlineStr">
        <is>
          <t>Yes</t>
        </is>
      </c>
      <c r="D43" s="11" t="n">
        <v>100</v>
      </c>
      <c r="E43" s="14" t="inlineStr">
        <is>
          <t>High</t>
        </is>
      </c>
      <c r="F43" s="11" t="inlineStr">
        <is>
          <t>R01, R03, R05, R07, R08, R09</t>
        </is>
      </c>
      <c r="G43" s="11" t="inlineStr">
        <is>
          <t>Informational</t>
        </is>
      </c>
      <c r="H43" s="11" t="inlineStr">
        <is>
          <t>T8</t>
        </is>
      </c>
      <c r="I43" s="11" t="n">
        <v>1</v>
      </c>
      <c r="J43" s="12" t="n">
        <v>150</v>
      </c>
      <c r="K43" s="15">
        <f>IF(J43&gt;0,I43/J43,0)</f>
        <v/>
      </c>
      <c r="L43" s="16" t="n">
        <v>19.6</v>
      </c>
      <c r="M43" s="11" t="inlineStr">
        <is>
          <t>11-20</t>
        </is>
      </c>
      <c r="N43" s="11" t="inlineStr"/>
      <c r="O43" s="11" t="inlineStr">
        <is>
          <t>Striking distance: expand + internal links</t>
        </is>
      </c>
      <c r="P43" s="15" t="n">
        <v>0.055</v>
      </c>
      <c r="Q43" s="11">
        <f>IF(H43="",0,MAX(0,ROUND(J43*P43-I43,0)))</f>
        <v/>
      </c>
      <c r="R43" s="11" t="inlineStr"/>
    </row>
    <row r="44">
      <c r="A44" s="11" t="inlineStr">
        <is>
          <t>is metallic epoxy hard to maintain</t>
        </is>
      </c>
      <c r="B44" s="11">
        <f>IF(LEN(TRIM(A44))=0,0,LEN(TRIM(A44))-LEN(SUBSTITUTE(TRIM(A44)," ",""))+1)</f>
        <v/>
      </c>
      <c r="C44" s="11" t="inlineStr">
        <is>
          <t>Yes</t>
        </is>
      </c>
      <c r="D44" s="11" t="n">
        <v>30</v>
      </c>
      <c r="E44" s="17" t="inlineStr">
        <is>
          <t>Medium</t>
        </is>
      </c>
      <c r="F44" s="11" t="inlineStr">
        <is>
          <t>R03</t>
        </is>
      </c>
      <c r="G44" s="11" t="inlineStr">
        <is>
          <t>Informational</t>
        </is>
      </c>
      <c r="H44" s="11" t="inlineStr">
        <is>
          <t>T4</t>
        </is>
      </c>
      <c r="I44" s="11" t="n">
        <v>1</v>
      </c>
      <c r="J44" s="12" t="n">
        <v>150</v>
      </c>
      <c r="K44" s="15">
        <f>IF(J44&gt;0,I44/J44,0)</f>
        <v/>
      </c>
      <c r="L44" s="16" t="n">
        <v>19</v>
      </c>
      <c r="M44" s="11" t="inlineStr">
        <is>
          <t>11-20</t>
        </is>
      </c>
      <c r="N44" s="11" t="inlineStr"/>
      <c r="O44" s="11" t="inlineStr">
        <is>
          <t>Striking distance: expand + internal links</t>
        </is>
      </c>
      <c r="P44" s="15" t="n">
        <v>0.055</v>
      </c>
      <c r="Q44" s="11">
        <f>IF(H44="",0,MAX(0,ROUND(J44*P44-I44,0)))</f>
        <v/>
      </c>
      <c r="R44" s="11" t="inlineStr"/>
    </row>
    <row r="45">
      <c r="A45" s="11" t="inlineStr">
        <is>
          <t>epoxy flooring cost for a 6x6 garage with crack repair included</t>
        </is>
      </c>
      <c r="B45" s="11">
        <f>IF(LEN(TRIM(A45))=0,0,LEN(TRIM(A45))-LEN(SUBSTITUTE(TRIM(A45)," ",""))+1)</f>
        <v/>
      </c>
      <c r="C45" s="11" t="inlineStr">
        <is>
          <t>Yes</t>
        </is>
      </c>
      <c r="D45" s="11" t="n">
        <v>35</v>
      </c>
      <c r="E45" s="17" t="inlineStr">
        <is>
          <t>Medium</t>
        </is>
      </c>
      <c r="F45" s="11" t="inlineStr">
        <is>
          <t>R01</t>
        </is>
      </c>
      <c r="G45" s="11" t="inlineStr">
        <is>
          <t>Transactional</t>
        </is>
      </c>
      <c r="H45" s="11" t="inlineStr">
        <is>
          <t>T1</t>
        </is>
      </c>
      <c r="I45" s="11" t="n">
        <v>3</v>
      </c>
      <c r="J45" s="12" t="n">
        <v>140</v>
      </c>
      <c r="K45" s="15">
        <f>IF(J45&gt;0,I45/J45,0)</f>
        <v/>
      </c>
      <c r="L45" s="16" t="n">
        <v>9.800000000000001</v>
      </c>
      <c r="M45" s="11" t="inlineStr">
        <is>
          <t>4-10</t>
        </is>
      </c>
      <c r="N45" s="11" t="inlineStr"/>
      <c r="O45" s="11" t="inlineStr">
        <is>
          <t>Answer upgrade</t>
        </is>
      </c>
      <c r="P45" s="15" t="n">
        <v>0.1</v>
      </c>
      <c r="Q45" s="11">
        <f>IF(H45="",0,MAX(0,ROUND(J45*P45-I45,0)))</f>
        <v/>
      </c>
      <c r="R45" s="11" t="inlineStr"/>
    </row>
    <row r="46">
      <c r="A46" s="11" t="inlineStr">
        <is>
          <t>compare epoxy flooring companies on the gold coast</t>
        </is>
      </c>
      <c r="B46" s="11">
        <f>IF(LEN(TRIM(A46))=0,0,LEN(TRIM(A46))-LEN(SUBSTITUTE(TRIM(A46)," ",""))+1)</f>
        <v/>
      </c>
      <c r="C46" s="11" t="inlineStr">
        <is>
          <t>Yes</t>
        </is>
      </c>
      <c r="D46" s="11" t="n">
        <v>60</v>
      </c>
      <c r="E46" s="14" t="inlineStr">
        <is>
          <t>High</t>
        </is>
      </c>
      <c r="F46" s="11" t="inlineStr">
        <is>
          <t>R02, R04, R06</t>
        </is>
      </c>
      <c r="G46" s="11" t="inlineStr">
        <is>
          <t>Local</t>
        </is>
      </c>
      <c r="H46" s="11" t="inlineStr">
        <is>
          <t>T3</t>
        </is>
      </c>
      <c r="I46" s="11" t="n">
        <v>3</v>
      </c>
      <c r="J46" s="12" t="n">
        <v>140</v>
      </c>
      <c r="K46" s="15">
        <f>IF(J46&gt;0,I46/J46,0)</f>
        <v/>
      </c>
      <c r="L46" s="16" t="n">
        <v>8.199999999999999</v>
      </c>
      <c r="M46" s="11" t="inlineStr">
        <is>
          <t>4-10</t>
        </is>
      </c>
      <c r="N46" s="11" t="inlineStr"/>
      <c r="O46" s="11" t="inlineStr">
        <is>
          <t>Answer upgrade</t>
        </is>
      </c>
      <c r="P46" s="15" t="n">
        <v>0.1</v>
      </c>
      <c r="Q46" s="11">
        <f>IF(H46="",0,MAX(0,ROUND(J46*P46-I46,0)))</f>
        <v/>
      </c>
      <c r="R46" s="11" t="inlineStr"/>
    </row>
    <row r="47">
      <c r="A47" s="11" t="inlineStr">
        <is>
          <t>my epoxy floor has bubbles what went wrong</t>
        </is>
      </c>
      <c r="B47" s="11">
        <f>IF(LEN(TRIM(A47))=0,0,LEN(TRIM(A47))-LEN(SUBSTITUTE(TRIM(A47)," ",""))+1)</f>
        <v/>
      </c>
      <c r="C47" s="11" t="inlineStr">
        <is>
          <t>Yes</t>
        </is>
      </c>
      <c r="D47" s="11" t="n">
        <v>35</v>
      </c>
      <c r="E47" s="17" t="inlineStr">
        <is>
          <t>Medium</t>
        </is>
      </c>
      <c r="F47" s="11" t="inlineStr">
        <is>
          <t>R02, R05</t>
        </is>
      </c>
      <c r="G47" s="11" t="inlineStr">
        <is>
          <t>Informational</t>
        </is>
      </c>
      <c r="H47" s="11" t="inlineStr">
        <is>
          <t>T5</t>
        </is>
      </c>
      <c r="I47" s="11" t="n">
        <v>1</v>
      </c>
      <c r="J47" s="12" t="n">
        <v>130</v>
      </c>
      <c r="K47" s="15">
        <f>IF(J47&gt;0,I47/J47,0)</f>
        <v/>
      </c>
      <c r="L47" s="16" t="n">
        <v>27.2</v>
      </c>
      <c r="M47" s="11" t="inlineStr">
        <is>
          <t>21+</t>
        </is>
      </c>
      <c r="N47" s="11" t="inlineStr"/>
      <c r="O47" s="11" t="inlineStr">
        <is>
          <t>Content gap: new section or page</t>
        </is>
      </c>
      <c r="P47" s="15" t="n">
        <v>0.026</v>
      </c>
      <c r="Q47" s="11">
        <f>IF(H47="",0,MAX(0,ROUND(J47*P47-I47,0)))</f>
        <v/>
      </c>
      <c r="R47" s="11" t="inlineStr"/>
    </row>
    <row r="48">
      <c r="A48" s="11" t="inlineStr">
        <is>
          <t>give me a checklist for preparing a garage floor for epoxy</t>
        </is>
      </c>
      <c r="B48" s="11">
        <f>IF(LEN(TRIM(A48))=0,0,LEN(TRIM(A48))-LEN(SUBSTITUTE(TRIM(A48)," ",""))+1)</f>
        <v/>
      </c>
      <c r="C48" s="11" t="inlineStr">
        <is>
          <t>Yes</t>
        </is>
      </c>
      <c r="D48" s="11" t="n">
        <v>95</v>
      </c>
      <c r="E48" s="14" t="inlineStr">
        <is>
          <t>High</t>
        </is>
      </c>
      <c r="F48" s="11" t="inlineStr">
        <is>
          <t>R01, R04, R05, R08</t>
        </is>
      </c>
      <c r="G48" s="11" t="inlineStr">
        <is>
          <t>Informational</t>
        </is>
      </c>
      <c r="H48" s="11" t="inlineStr">
        <is>
          <t>T7</t>
        </is>
      </c>
      <c r="I48" s="11" t="n">
        <v>1</v>
      </c>
      <c r="J48" s="12" t="n">
        <v>120</v>
      </c>
      <c r="K48" s="15">
        <f>IF(J48&gt;0,I48/J48,0)</f>
        <v/>
      </c>
      <c r="L48" s="16" t="n">
        <v>18.1</v>
      </c>
      <c r="M48" s="11" t="inlineStr">
        <is>
          <t>11-20</t>
        </is>
      </c>
      <c r="N48" s="11" t="inlineStr"/>
      <c r="O48" s="11" t="inlineStr">
        <is>
          <t>Striking distance: expand + internal links</t>
        </is>
      </c>
      <c r="P48" s="15" t="n">
        <v>0.055</v>
      </c>
      <c r="Q48" s="11">
        <f>IF(H48="",0,MAX(0,ROUND(J48*P48-I48,0)))</f>
        <v/>
      </c>
      <c r="R48" s="11" t="inlineStr"/>
    </row>
    <row r="49">
      <c r="A49" s="11" t="inlineStr">
        <is>
          <t>we are building a new home when should we epoxy the garage</t>
        </is>
      </c>
      <c r="B49" s="11">
        <f>IF(LEN(TRIM(A49))=0,0,LEN(TRIM(A49))-LEN(SUBSTITUTE(TRIM(A49)," ",""))+1)</f>
        <v/>
      </c>
      <c r="C49" s="11" t="inlineStr">
        <is>
          <t>Yes</t>
        </is>
      </c>
      <c r="D49" s="11" t="n">
        <v>55</v>
      </c>
      <c r="E49" s="14" t="inlineStr">
        <is>
          <t>High</t>
        </is>
      </c>
      <c r="F49" s="11" t="inlineStr">
        <is>
          <t>R01, R05</t>
        </is>
      </c>
      <c r="G49" s="11" t="inlineStr">
        <is>
          <t>Informational</t>
        </is>
      </c>
      <c r="H49" s="11" t="inlineStr">
        <is>
          <t>T10</t>
        </is>
      </c>
      <c r="I49" s="11" t="n">
        <v>1</v>
      </c>
      <c r="J49" s="12" t="n">
        <v>95</v>
      </c>
      <c r="K49" s="15">
        <f>IF(J49&gt;0,I49/J49,0)</f>
        <v/>
      </c>
      <c r="L49" s="16" t="n">
        <v>20.4</v>
      </c>
      <c r="M49" s="11" t="inlineStr">
        <is>
          <t>21+</t>
        </is>
      </c>
      <c r="N49" s="11" t="inlineStr"/>
      <c r="O49" s="11" t="inlineStr">
        <is>
          <t>Content gap: new section or page</t>
        </is>
      </c>
      <c r="P49" s="15" t="n">
        <v>0.026</v>
      </c>
      <c r="Q49" s="11">
        <f>IF(H49="",0,MAX(0,ROUND(J49*P49-I49,0)))</f>
        <v/>
      </c>
      <c r="R49" s="11" t="inlineStr"/>
    </row>
    <row r="50">
      <c r="A50" s="11" t="inlineStr">
        <is>
          <t>recommend a good epoxy flooring installer near southport</t>
        </is>
      </c>
      <c r="B50" s="11">
        <f>IF(LEN(TRIM(A50))=0,0,LEN(TRIM(A50))-LEN(SUBSTITUTE(TRIM(A50)," ",""))+1)</f>
        <v/>
      </c>
      <c r="C50" s="11" t="inlineStr">
        <is>
          <t>Yes</t>
        </is>
      </c>
      <c r="D50" s="11" t="n">
        <v>55</v>
      </c>
      <c r="E50" s="14" t="inlineStr">
        <is>
          <t>High</t>
        </is>
      </c>
      <c r="F50" s="11" t="inlineStr">
        <is>
          <t>R02, R04, R07</t>
        </is>
      </c>
      <c r="G50" s="11" t="inlineStr">
        <is>
          <t>Local</t>
        </is>
      </c>
      <c r="H50" s="11" t="inlineStr">
        <is>
          <t>T3</t>
        </is>
      </c>
      <c r="I50" s="11" t="n">
        <v>3</v>
      </c>
      <c r="J50" s="12" t="n">
        <v>90</v>
      </c>
      <c r="K50" s="15">
        <f>IF(J50&gt;0,I50/J50,0)</f>
        <v/>
      </c>
      <c r="L50" s="16" t="n">
        <v>6.5</v>
      </c>
      <c r="M50" s="11" t="inlineStr">
        <is>
          <t>4-10</t>
        </is>
      </c>
      <c r="N50" s="11" t="inlineStr"/>
      <c r="O50" s="11" t="inlineStr">
        <is>
          <t>Answer upgrade</t>
        </is>
      </c>
      <c r="P50" s="15" t="n">
        <v>0.1</v>
      </c>
      <c r="Q50" s="11">
        <f>IF(H50="",0,MAX(0,ROUND(J50*P50-I50,0)))</f>
        <v/>
      </c>
      <c r="R50" s="11" t="inlineStr"/>
    </row>
    <row r="51">
      <c r="A51" s="11" t="inlineStr">
        <is>
          <t>i want a durable garage floor that looks good and is easy to clean what are my options</t>
        </is>
      </c>
      <c r="B51" s="11">
        <f>IF(LEN(TRIM(A51))=0,0,LEN(TRIM(A51))-LEN(SUBSTITUTE(TRIM(A51)," ",""))+1)</f>
        <v/>
      </c>
      <c r="C51" s="11" t="inlineStr">
        <is>
          <t>Yes</t>
        </is>
      </c>
      <c r="D51" s="11" t="n">
        <v>100</v>
      </c>
      <c r="E51" s="14" t="inlineStr">
        <is>
          <t>High</t>
        </is>
      </c>
      <c r="F51" s="11" t="inlineStr">
        <is>
          <t>R01, R04, R05, R09</t>
        </is>
      </c>
      <c r="G51" s="11" t="inlineStr">
        <is>
          <t>Informational</t>
        </is>
      </c>
      <c r="H51" s="11" t="inlineStr">
        <is>
          <t>T4</t>
        </is>
      </c>
      <c r="I51" s="11" t="n">
        <v>1</v>
      </c>
      <c r="J51" s="12" t="n">
        <v>85</v>
      </c>
      <c r="K51" s="15">
        <f>IF(J51&gt;0,I51/J51,0)</f>
        <v/>
      </c>
      <c r="L51" s="16" t="n">
        <v>12.9</v>
      </c>
      <c r="M51" s="11" t="inlineStr">
        <is>
          <t>11-20</t>
        </is>
      </c>
      <c r="N51" s="11" t="inlineStr"/>
      <c r="O51" s="11" t="inlineStr">
        <is>
          <t>Striking distance: expand + internal links</t>
        </is>
      </c>
      <c r="P51" s="15" t="n">
        <v>0.055</v>
      </c>
      <c r="Q51" s="11">
        <f>IF(H51="",0,MAX(0,ROUND(J51*P51-I51,0)))</f>
        <v/>
      </c>
      <c r="R51" s="11" t="inlineStr"/>
    </row>
    <row r="52">
      <c r="A52" s="11" t="inlineStr">
        <is>
          <t>chatgpt epoxy garage floor cost australia</t>
        </is>
      </c>
      <c r="B52" s="11">
        <f>IF(LEN(TRIM(A52))=0,0,LEN(TRIM(A52))-LEN(SUBSTITUTE(TRIM(A52)," ",""))+1)</f>
        <v/>
      </c>
      <c r="C52" s="11" t="inlineStr">
        <is>
          <t>Yes</t>
        </is>
      </c>
      <c r="D52" s="11" t="n">
        <v>40</v>
      </c>
      <c r="E52" s="17" t="inlineStr">
        <is>
          <t>Medium</t>
        </is>
      </c>
      <c r="F52" s="11" t="inlineStr">
        <is>
          <t>R10</t>
        </is>
      </c>
      <c r="G52" s="11" t="inlineStr">
        <is>
          <t>Transactional</t>
        </is>
      </c>
      <c r="H52" s="11" t="inlineStr">
        <is>
          <t>T1</t>
        </is>
      </c>
      <c r="I52" s="11" t="n">
        <v>2</v>
      </c>
      <c r="J52" s="12" t="n">
        <v>75</v>
      </c>
      <c r="K52" s="15">
        <f>IF(J52&gt;0,I52/J52,0)</f>
        <v/>
      </c>
      <c r="L52" s="16" t="n">
        <v>9.9</v>
      </c>
      <c r="M52" s="11" t="inlineStr">
        <is>
          <t>4-10</t>
        </is>
      </c>
      <c r="N52" s="11" t="inlineStr"/>
      <c r="O52" s="11" t="inlineStr">
        <is>
          <t>Answer upgrade</t>
        </is>
      </c>
      <c r="P52" s="15" t="n">
        <v>0.1</v>
      </c>
      <c r="Q52" s="11">
        <f>IF(H52="",0,MAX(0,ROUND(J52*P52-I52,0)))</f>
        <v/>
      </c>
      <c r="R52" s="11" t="inlineStr"/>
    </row>
    <row r="53">
      <c r="A53" s="11" t="inlineStr">
        <is>
          <t>my garage floor gets wet in summer will epoxy still work</t>
        </is>
      </c>
      <c r="B53" s="11">
        <f>IF(LEN(TRIM(A53))=0,0,LEN(TRIM(A53))-LEN(SUBSTITUTE(TRIM(A53)," ",""))+1)</f>
        <v/>
      </c>
      <c r="C53" s="11" t="inlineStr">
        <is>
          <t>Yes</t>
        </is>
      </c>
      <c r="D53" s="11" t="n">
        <v>55</v>
      </c>
      <c r="E53" s="14" t="inlineStr">
        <is>
          <t>High</t>
        </is>
      </c>
      <c r="F53" s="11" t="inlineStr">
        <is>
          <t>R01, R05</t>
        </is>
      </c>
      <c r="G53" s="11" t="inlineStr">
        <is>
          <t>Informational</t>
        </is>
      </c>
      <c r="H53" s="11" t="inlineStr">
        <is>
          <t>T10</t>
        </is>
      </c>
      <c r="I53" s="11" t="n">
        <v>0</v>
      </c>
      <c r="J53" s="12" t="n">
        <v>70</v>
      </c>
      <c r="K53" s="15">
        <f>IF(J53&gt;0,I53/J53,0)</f>
        <v/>
      </c>
      <c r="L53" s="16" t="n">
        <v>26</v>
      </c>
      <c r="M53" s="11" t="inlineStr">
        <is>
          <t>21+</t>
        </is>
      </c>
      <c r="N53" s="11" t="inlineStr"/>
      <c r="O53" s="11" t="inlineStr">
        <is>
          <t>Content gap: new section or page</t>
        </is>
      </c>
      <c r="P53" s="15" t="n">
        <v>0.026</v>
      </c>
      <c r="Q53" s="11">
        <f>IF(H53="",0,MAX(0,ROUND(J53*P53-I53,0)))</f>
        <v/>
      </c>
      <c r="R53" s="11" t="inlineStr"/>
    </row>
    <row r="54">
      <c r="A54" s="11" t="inlineStr">
        <is>
          <t>https://openai.com/index/chatgpt/ best epoxy flooring company gold coast reviews</t>
        </is>
      </c>
      <c r="B54" s="11">
        <f>IF(LEN(TRIM(A54))=0,0,LEN(TRIM(A54))-LEN(SUBSTITUTE(TRIM(A54)," ",""))+1)</f>
        <v/>
      </c>
      <c r="C54" s="11" t="inlineStr">
        <is>
          <t>Yes</t>
        </is>
      </c>
      <c r="D54" s="11" t="n">
        <v>65</v>
      </c>
      <c r="E54" s="14" t="inlineStr">
        <is>
          <t>High</t>
        </is>
      </c>
      <c r="F54" s="11" t="inlineStr">
        <is>
          <t>R02, R07, R10</t>
        </is>
      </c>
      <c r="G54" s="11" t="inlineStr">
        <is>
          <t>Local</t>
        </is>
      </c>
      <c r="H54" s="11" t="inlineStr">
        <is>
          <t>T3</t>
        </is>
      </c>
      <c r="I54" s="11" t="n">
        <v>1</v>
      </c>
      <c r="J54" s="12" t="n">
        <v>60</v>
      </c>
      <c r="K54" s="15">
        <f>IF(J54&gt;0,I54/J54,0)</f>
        <v/>
      </c>
      <c r="L54" s="16" t="n">
        <v>7.4</v>
      </c>
      <c r="M54" s="11" t="inlineStr">
        <is>
          <t>4-10</t>
        </is>
      </c>
      <c r="N54" s="11" t="inlineStr"/>
      <c r="O54" s="11" t="inlineStr">
        <is>
          <t>Answer upgrade</t>
        </is>
      </c>
      <c r="P54" s="15" t="n">
        <v>0.1</v>
      </c>
      <c r="Q54" s="11">
        <f>IF(H54="",0,MAX(0,ROUND(J54*P54-I54,0)))</f>
        <v/>
      </c>
      <c r="R54" s="11" t="inlineStr"/>
    </row>
    <row r="55">
      <c r="A55" s="11" t="inlineStr">
        <is>
          <t>according to ai what is the most durable garage floor coating</t>
        </is>
      </c>
      <c r="B55" s="11">
        <f>IF(LEN(TRIM(A55))=0,0,LEN(TRIM(A55))-LEN(SUBSTITUTE(TRIM(A55)," ",""))+1)</f>
        <v/>
      </c>
      <c r="C55" s="11" t="inlineStr">
        <is>
          <t>Yes</t>
        </is>
      </c>
      <c r="D55" s="11" t="n">
        <v>50</v>
      </c>
      <c r="E55" s="14" t="inlineStr">
        <is>
          <t>High</t>
        </is>
      </c>
      <c r="F55" s="11" t="inlineStr">
        <is>
          <t>R01, R09</t>
        </is>
      </c>
      <c r="G55" s="11" t="inlineStr">
        <is>
          <t>Informational</t>
        </is>
      </c>
      <c r="H55" s="11" t="inlineStr">
        <is>
          <t>T10</t>
        </is>
      </c>
      <c r="I55" s="11" t="n">
        <v>1</v>
      </c>
      <c r="J55" s="12" t="n">
        <v>55</v>
      </c>
      <c r="K55" s="15">
        <f>IF(J55&gt;0,I55/J55,0)</f>
        <v/>
      </c>
      <c r="L55" s="16" t="n">
        <v>11.2</v>
      </c>
      <c r="M55" s="11" t="inlineStr">
        <is>
          <t>11-20</t>
        </is>
      </c>
      <c r="N55" s="11" t="inlineStr"/>
      <c r="O55" s="11" t="inlineStr">
        <is>
          <t>Striking distance: expand + internal links</t>
        </is>
      </c>
      <c r="P55" s="15" t="n">
        <v>0.055</v>
      </c>
      <c r="Q55" s="11">
        <f>IF(H55="",0,MAX(0,ROUND(J55*P55-I55,0)))</f>
        <v/>
      </c>
      <c r="R55" s="11" t="inlineStr"/>
    </row>
    <row r="56">
      <c r="A56" s="11" t="inlineStr">
        <is>
          <t>how much is coastline epoxy for a single garage</t>
        </is>
      </c>
      <c r="B56" s="11">
        <f>IF(LEN(TRIM(A56))=0,0,LEN(TRIM(A56))-LEN(SUBSTITUTE(TRIM(A56)," ",""))+1)</f>
        <v/>
      </c>
      <c r="C56" s="11" t="inlineStr">
        <is>
          <t>Yes</t>
        </is>
      </c>
      <c r="D56" s="11" t="n">
        <v>60</v>
      </c>
      <c r="E56" s="14" t="inlineStr">
        <is>
          <t>High</t>
        </is>
      </c>
      <c r="F56" s="11" t="inlineStr">
        <is>
          <t>R02, R03, R09</t>
        </is>
      </c>
      <c r="G56" s="11" t="inlineStr">
        <is>
          <t>Brand</t>
        </is>
      </c>
      <c r="H56" s="11" t="inlineStr"/>
      <c r="I56" s="11" t="n">
        <v>7</v>
      </c>
      <c r="J56" s="12" t="n">
        <v>45</v>
      </c>
      <c r="K56" s="15">
        <f>IF(J56&gt;0,I56/J56,0)</f>
        <v/>
      </c>
      <c r="L56" s="16" t="n">
        <v>1.4</v>
      </c>
      <c r="M56" s="11" t="inlineStr">
        <is>
          <t>Top 3</t>
        </is>
      </c>
      <c r="N56" s="11" t="inlineStr"/>
      <c r="O56" s="11" t="inlineStr">
        <is>
          <t>Defend &amp; get cited</t>
        </is>
      </c>
      <c r="P56" s="15" t="n">
        <v>0.25</v>
      </c>
      <c r="Q56" s="11">
        <f>IF(H56="",0,MAX(0,ROUND(J56*P56-I56,0)))</f>
        <v/>
      </c>
      <c r="R56" s="11" t="inlineStr"/>
    </row>
    <row r="57">
      <c r="A57" s="11" t="inlineStr">
        <is>
          <t>is coastline epoxy any good</t>
        </is>
      </c>
      <c r="B57" s="11">
        <f>IF(LEN(TRIM(A57))=0,0,LEN(TRIM(A57))-LEN(SUBSTITUTE(TRIM(A57)," ",""))+1)</f>
        <v/>
      </c>
      <c r="C57" s="11" t="inlineStr">
        <is>
          <t>Yes</t>
        </is>
      </c>
      <c r="D57" s="11" t="n">
        <v>30</v>
      </c>
      <c r="E57" s="17" t="inlineStr">
        <is>
          <t>Medium</t>
        </is>
      </c>
      <c r="F57" s="11" t="inlineStr">
        <is>
          <t>R03</t>
        </is>
      </c>
      <c r="G57" s="11" t="inlineStr">
        <is>
          <t>Brand</t>
        </is>
      </c>
      <c r="H57" s="11" t="inlineStr"/>
      <c r="I57" s="11" t="n">
        <v>8</v>
      </c>
      <c r="J57" s="12" t="n">
        <v>35</v>
      </c>
      <c r="K57" s="15">
        <f>IF(J57&gt;0,I57/J57,0)</f>
        <v/>
      </c>
      <c r="L57" s="16" t="n">
        <v>1.2</v>
      </c>
      <c r="M57" s="11" t="inlineStr">
        <is>
          <t>Top 3</t>
        </is>
      </c>
      <c r="N57" s="11" t="inlineStr"/>
      <c r="O57" s="11" t="inlineStr">
        <is>
          <t>Defend &amp; get cited</t>
        </is>
      </c>
      <c r="P57" s="15" t="n">
        <v>0.25</v>
      </c>
      <c r="Q57" s="11">
        <f>IF(H57="",0,MAX(0,ROUND(J57*P57-I57,0)))</f>
        <v/>
      </c>
      <c r="R57" s="11" t="inlineStr"/>
    </row>
    <row r="58">
      <c r="A58" s="11" t="inlineStr">
        <is>
          <t>my garage floor</t>
        </is>
      </c>
      <c r="B58" s="11">
        <f>IF(LEN(TRIM(A58))=0,0,LEN(TRIM(A58))-LEN(SUBSTITUTE(TRIM(A58)," ",""))+1)</f>
        <v/>
      </c>
      <c r="C58" s="11" t="inlineStr">
        <is>
          <t>No</t>
        </is>
      </c>
      <c r="D58" s="11" t="n">
        <v>20</v>
      </c>
      <c r="E58" s="18" t="inlineStr">
        <is>
          <t>Low</t>
        </is>
      </c>
      <c r="F58" s="11" t="inlineStr">
        <is>
          <t>R05</t>
        </is>
      </c>
      <c r="G58" s="11" t="inlineStr">
        <is>
          <t>Informational</t>
        </is>
      </c>
      <c r="H58" s="11" t="inlineStr"/>
      <c r="I58" s="11" t="n">
        <v>0</v>
      </c>
      <c r="J58" s="12" t="n">
        <v>40</v>
      </c>
      <c r="K58" s="15">
        <f>IF(J58&gt;0,I58/J58,0)</f>
        <v/>
      </c>
      <c r="L58" s="16" t="n">
        <v>34</v>
      </c>
      <c r="M58" s="11" t="inlineStr">
        <is>
          <t>21+</t>
        </is>
      </c>
      <c r="N58" s="11" t="inlineStr"/>
      <c r="O58" s="11" t="inlineStr">
        <is>
          <t>Content gap: new section or page</t>
        </is>
      </c>
      <c r="P58" s="15" t="n">
        <v>0.026</v>
      </c>
      <c r="Q58" s="11">
        <f>IF(H58="",0,MAX(0,ROUND(J58*P58-I58,0)))</f>
        <v/>
      </c>
      <c r="R58" s="11" t="inlineStr"/>
    </row>
    <row r="59">
      <c r="A59" s="11" t="inlineStr">
        <is>
          <t>our flooring options</t>
        </is>
      </c>
      <c r="B59" s="11">
        <f>IF(LEN(TRIM(A59))=0,0,LEN(TRIM(A59))-LEN(SUBSTITUTE(TRIM(A59)," ",""))+1)</f>
        <v/>
      </c>
      <c r="C59" s="11" t="inlineStr">
        <is>
          <t>No</t>
        </is>
      </c>
      <c r="D59" s="11" t="n">
        <v>20</v>
      </c>
      <c r="E59" s="18" t="inlineStr">
        <is>
          <t>Low</t>
        </is>
      </c>
      <c r="F59" s="11" t="inlineStr">
        <is>
          <t>R05</t>
        </is>
      </c>
      <c r="G59" s="11" t="inlineStr">
        <is>
          <t>Informational</t>
        </is>
      </c>
      <c r="H59" s="11" t="inlineStr"/>
      <c r="I59" s="11" t="n">
        <v>0</v>
      </c>
      <c r="J59" s="12" t="n">
        <v>25</v>
      </c>
      <c r="K59" s="15">
        <f>IF(J59&gt;0,I59/J59,0)</f>
        <v/>
      </c>
      <c r="L59" s="16" t="n">
        <v>45</v>
      </c>
      <c r="M59" s="11" t="inlineStr">
        <is>
          <t>21+</t>
        </is>
      </c>
      <c r="N59" s="11" t="inlineStr"/>
      <c r="O59" s="11" t="inlineStr">
        <is>
          <t>Content gap: new section or page</t>
        </is>
      </c>
      <c r="P59" s="15" t="n">
        <v>0.026</v>
      </c>
      <c r="Q59" s="11">
        <f>IF(H59="",0,MAX(0,ROUND(J59*P59-I59,0)))</f>
        <v/>
      </c>
      <c r="R59" s="11" t="inlineStr"/>
    </row>
  </sheetData>
  <autoFilter ref="A1:R59"/>
  <conditionalFormatting sqref="D2:D59">
    <cfRule type="colorScale" priority="1">
      <colorScale>
        <cfvo type="num" val="0"/>
        <cfvo type="num" val="100"/>
        <color rgb="00F3F4F6"/>
        <color rgb="00A78BFA"/>
      </colorScale>
    </cfRule>
  </conditionalFormatting>
  <conditionalFormatting sqref="N2:N59">
    <cfRule type="cellIs" priority="2" operator="equal" dxfId="0">
      <formula>"Yes"</formula>
    </cfRule>
  </conditionalFormatting>
  <pageMargins left="0.75" right="0.75" top="1" bottom="1" header="0.5" footer="0.5"/>
</worksheet>
</file>

<file path=xl/worksheets/sheet3.xml><?xml version="1.0" encoding="utf-8"?>
<worksheet xmlns="http://schemas.openxmlformats.org/spreadsheetml/2006/main">
  <sheetPr>
    <tabColor rgb="00A78BFA"/>
    <outlinePr summaryBelow="1" summaryRight="1"/>
    <pageSetUpPr/>
  </sheetPr>
  <dimension ref="A1:J1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70" customWidth="1" min="3" max="3"/>
    <col width="7" customWidth="1" min="4" max="4"/>
    <col width="9" customWidth="1" min="5" max="5"/>
    <col width="8" customWidth="1" min="6" max="6"/>
    <col width="50" customWidth="1" min="7" max="7"/>
    <col width="10" customWidth="1" min="8" max="8"/>
    <col width="12" customWidth="1" min="9" max="9"/>
    <col width="9" customWidth="1" min="10" max="10"/>
  </cols>
  <sheetData>
    <row r="1">
      <c r="A1" s="1" t="inlineStr">
        <is>
          <t>Regex library</t>
        </is>
      </c>
    </row>
    <row r="2">
      <c r="A2" s="2" t="inlineStr">
        <is>
          <t>Paste into GSC &gt; Performance &gt; + Add filter &gt; Query &gt; Custom (regex). RE2 syntax, max 4,096 characters.</t>
        </is>
      </c>
    </row>
    <row r="4" ht="32" customHeight="1">
      <c r="A4" s="10" t="inlineStr">
        <is>
          <t>ID</t>
        </is>
      </c>
      <c r="B4" s="10" t="inlineStr">
        <is>
          <t>Family</t>
        </is>
      </c>
      <c r="C4" s="10" t="inlineStr">
        <is>
          <t>Regex (copy into GSC)</t>
        </is>
      </c>
      <c r="D4" s="10" t="inlineStr">
        <is>
          <t>Chars</t>
        </is>
      </c>
      <c r="E4" s="10" t="inlineStr">
        <is>
          <t>In master</t>
        </is>
      </c>
      <c r="F4" s="10" t="inlineStr">
        <is>
          <t>Weight</t>
        </is>
      </c>
      <c r="G4" s="10" t="inlineStr">
        <is>
          <t>What it catches</t>
        </is>
      </c>
      <c r="H4" s="10" t="inlineStr">
        <is>
          <t>AI queries</t>
        </is>
      </c>
      <c r="I4" s="10" t="inlineStr">
        <is>
          <t>Impressions</t>
        </is>
      </c>
      <c r="J4" s="10" t="inlineStr">
        <is>
          <t>Clicks</t>
        </is>
      </c>
    </row>
    <row r="5">
      <c r="A5" s="11" t="inlineStr">
        <is>
          <t>R01</t>
        </is>
      </c>
      <c r="B5" s="11" t="inlineStr">
        <is>
          <t>Long prompt (10+ words)</t>
        </is>
      </c>
      <c r="C5" s="19" t="inlineStr">
        <is>
          <t>^\S+(\s+\S+){9,}$</t>
        </is>
      </c>
      <c r="D5" s="11">
        <f>LEN(C5)</f>
        <v/>
      </c>
      <c r="E5" s="11" t="inlineStr">
        <is>
          <t>Yes</t>
        </is>
      </c>
      <c r="F5" s="11" t="n">
        <v>35</v>
      </c>
      <c r="G5" s="11" t="inlineStr">
        <is>
          <t>Full-sentence prompts typed or passed through by AI assistants and AI Mode. The strongest single signal.</t>
        </is>
      </c>
      <c r="H5" s="11">
        <f>COUNTIFS('AI Queries'!$F$2:$F$59,"*"&amp;A5&amp;"*",'AI Queries'!$C$2:$C$59,"Yes")</f>
        <v/>
      </c>
      <c r="I5" s="12">
        <f>SUMIFS('AI Queries'!$J$2:$J$59,'AI Queries'!$F$2:$F$59,"*"&amp;A5&amp;"*",'AI Queries'!$C$2:$C$59,"Yes")</f>
        <v/>
      </c>
      <c r="J5" s="11">
        <f>SUMIFS('AI Queries'!$I$2:$I$59,'AI Queries'!$F$2:$F$59,"*"&amp;A5&amp;"*",'AI Queries'!$C$2:$C$59,"Yes")</f>
        <v/>
      </c>
    </row>
    <row r="6">
      <c r="A6" s="11" t="inlineStr">
        <is>
          <t>R02</t>
        </is>
      </c>
      <c r="B6" s="11" t="inlineStr">
        <is>
          <t>Conversational length (7-9 words)</t>
        </is>
      </c>
      <c r="C6" s="19" t="inlineStr">
        <is>
          <t>^\S+(\s+\S+){6,8}$</t>
        </is>
      </c>
      <c r="D6" s="11">
        <f>LEN(C6)</f>
        <v/>
      </c>
      <c r="E6" s="11" t="inlineStr">
        <is>
          <t>Yes</t>
        </is>
      </c>
      <c r="F6" s="11" t="n">
        <v>15</v>
      </c>
      <c r="G6" s="11" t="inlineStr">
        <is>
          <t>Queries longer than classic keywords but shorter than full prompts.</t>
        </is>
      </c>
      <c r="H6" s="11">
        <f>COUNTIFS('AI Queries'!$F$2:$F$59,"*"&amp;A6&amp;"*",'AI Queries'!$C$2:$C$59,"Yes")</f>
        <v/>
      </c>
      <c r="I6" s="12">
        <f>SUMIFS('AI Queries'!$J$2:$J$59,'AI Queries'!$F$2:$F$59,"*"&amp;A6&amp;"*",'AI Queries'!$C$2:$C$59,"Yes")</f>
        <v/>
      </c>
      <c r="J6" s="11">
        <f>SUMIFS('AI Queries'!$I$2:$I$59,'AI Queries'!$F$2:$F$59,"*"&amp;A6&amp;"*",'AI Queries'!$C$2:$C$59,"Yes")</f>
        <v/>
      </c>
    </row>
    <row r="7">
      <c r="A7" s="11" t="inlineStr">
        <is>
          <t>R03</t>
        </is>
      </c>
      <c r="B7" s="11" t="inlineStr">
        <is>
          <t>Question opener</t>
        </is>
      </c>
      <c r="C7" s="19" t="inlineStr">
        <is>
          <t>(?i)^(who|whom|whose|what|whats|what's|when|where|why|how|which|is|are|was|were|am|can|could|should|would|will|do|does|did|has|have)\s</t>
        </is>
      </c>
      <c r="D7" s="11">
        <f>LEN(C7)</f>
        <v/>
      </c>
      <c r="E7" s="11" t="inlineStr">
        <is>
          <t>Yes</t>
        </is>
      </c>
      <c r="F7" s="11" t="n">
        <v>30</v>
      </c>
      <c r="G7" s="11" t="inlineStr">
        <is>
          <t>Queries that start like a question to an assistant: what, how, why, can, should, is...</t>
        </is>
      </c>
      <c r="H7" s="11">
        <f>COUNTIFS('AI Queries'!$F$2:$F$59,"*"&amp;A7&amp;"*",'AI Queries'!$C$2:$C$59,"Yes")</f>
        <v/>
      </c>
      <c r="I7" s="12">
        <f>SUMIFS('AI Queries'!$J$2:$J$59,'AI Queries'!$F$2:$F$59,"*"&amp;A7&amp;"*",'AI Queries'!$C$2:$C$59,"Yes")</f>
        <v/>
      </c>
      <c r="J7" s="11">
        <f>SUMIFS('AI Queries'!$I$2:$I$59,'AI Queries'!$F$2:$F$59,"*"&amp;A7&amp;"*",'AI Queries'!$C$2:$C$59,"Yes")</f>
        <v/>
      </c>
    </row>
    <row r="8">
      <c r="A8" s="11" t="inlineStr">
        <is>
          <t>R04</t>
        </is>
      </c>
      <c r="B8" s="11" t="inlineStr">
        <is>
          <t>Instruction / request</t>
        </is>
      </c>
      <c r="C8" s="19" t="inlineStr">
        <is>
          <t>(?i)^(give|show|tell|help|explain|list|compare|recommend|suggest|find|create|write|generate|make|summarise|summarize|describe|plan|calculate|teach|guide|walk|act|pretend|please|i need|i want|im looking|i'm looking|i am looking|looking for|can you|could you)\b</t>
        </is>
      </c>
      <c r="D8" s="11">
        <f>LEN(C8)</f>
        <v/>
      </c>
      <c r="E8" s="11" t="inlineStr">
        <is>
          <t>Yes</t>
        </is>
      </c>
      <c r="F8" s="11" t="n">
        <v>30</v>
      </c>
      <c r="G8" s="11" t="inlineStr">
        <is>
          <t>Commands written for an AI: give me, explain, compare, list, write, help me, I need, I'm looking for...</t>
        </is>
      </c>
      <c r="H8" s="11">
        <f>COUNTIFS('AI Queries'!$F$2:$F$59,"*"&amp;A8&amp;"*",'AI Queries'!$C$2:$C$59,"Yes")</f>
        <v/>
      </c>
      <c r="I8" s="12">
        <f>SUMIFS('AI Queries'!$J$2:$J$59,'AI Queries'!$F$2:$F$59,"*"&amp;A8&amp;"*",'AI Queries'!$C$2:$C$59,"Yes")</f>
        <v/>
      </c>
      <c r="J8" s="11">
        <f>SUMIFS('AI Queries'!$I$2:$I$59,'AI Queries'!$F$2:$F$59,"*"&amp;A8&amp;"*",'AI Queries'!$C$2:$C$59,"Yes")</f>
        <v/>
      </c>
    </row>
    <row r="9">
      <c r="A9" s="11" t="inlineStr">
        <is>
          <t>R05</t>
        </is>
      </c>
      <c r="B9" s="11" t="inlineStr">
        <is>
          <t>First-person context</t>
        </is>
      </c>
      <c r="C9" s="19" t="inlineStr">
        <is>
          <t>(?i)\b(i|im|i'm|ive|i've|my|me|we|our|mine)\b</t>
        </is>
      </c>
      <c r="D9" s="11">
        <f>LEN(C9)</f>
        <v/>
      </c>
      <c r="E9" s="11" t="inlineStr">
        <is>
          <t>Yes</t>
        </is>
      </c>
      <c r="F9" s="11" t="n">
        <v>20</v>
      </c>
      <c r="G9" s="11" t="inlineStr">
        <is>
          <t>Personal situations people describe to an AI: my garage, I have, we need, our team...</t>
        </is>
      </c>
      <c r="H9" s="11">
        <f>COUNTIFS('AI Queries'!$F$2:$F$59,"*"&amp;A9&amp;"*",'AI Queries'!$C$2:$C$59,"Yes")</f>
        <v/>
      </c>
      <c r="I9" s="12">
        <f>SUMIFS('AI Queries'!$J$2:$J$59,'AI Queries'!$F$2:$F$59,"*"&amp;A9&amp;"*",'AI Queries'!$C$2:$C$59,"Yes")</f>
        <v/>
      </c>
      <c r="J9" s="11">
        <f>SUMIFS('AI Queries'!$I$2:$I$59,'AI Queries'!$F$2:$F$59,"*"&amp;A9&amp;"*",'AI Queries'!$C$2:$C$59,"Yes")</f>
        <v/>
      </c>
    </row>
    <row r="10">
      <c r="A10" s="11" t="inlineStr">
        <is>
          <t>R06</t>
        </is>
      </c>
      <c r="B10" s="11" t="inlineStr">
        <is>
          <t>Comparison</t>
        </is>
      </c>
      <c r="C10" s="19" t="inlineStr">
        <is>
          <t>(?i)\b(vs|versus|compare|compared|comparison|alternative|alternatives|difference between|differences between|better than|pros and cons|which is better)\b</t>
        </is>
      </c>
      <c r="D10" s="11">
        <f>LEN(C10)</f>
        <v/>
      </c>
      <c r="E10" s="11" t="inlineStr">
        <is>
          <t>No</t>
        </is>
      </c>
      <c r="F10" s="11" t="n">
        <v>15</v>
      </c>
      <c r="G10" s="11" t="inlineStr">
        <is>
          <t>X vs Y, alternatives, differences, pros and cons, which is better.</t>
        </is>
      </c>
      <c r="H10" s="11">
        <f>COUNTIFS('AI Queries'!$F$2:$F$59,"*"&amp;A10&amp;"*",'AI Queries'!$C$2:$C$59,"Yes")</f>
        <v/>
      </c>
      <c r="I10" s="12">
        <f>SUMIFS('AI Queries'!$J$2:$J$59,'AI Queries'!$F$2:$F$59,"*"&amp;A10&amp;"*",'AI Queries'!$C$2:$C$59,"Yes")</f>
        <v/>
      </c>
      <c r="J10" s="11">
        <f>SUMIFS('AI Queries'!$I$2:$I$59,'AI Queries'!$F$2:$F$59,"*"&amp;A10&amp;"*",'AI Queries'!$C$2:$C$59,"Yes")</f>
        <v/>
      </c>
    </row>
    <row r="11">
      <c r="A11" s="11" t="inlineStr">
        <is>
          <t>R07</t>
        </is>
      </c>
      <c r="B11" s="11" t="inlineStr">
        <is>
          <t>Recommendation / best-of</t>
        </is>
      </c>
      <c r="C11" s="19" t="inlineStr">
        <is>
          <t>(?i)\b(best|top \d+|top rated|recommend|recommended|most reliable|most popular|most affordable|cheapest|worth it|should i (buy|use|choose|get|hire|go with))\b</t>
        </is>
      </c>
      <c r="D11" s="11">
        <f>LEN(C11)</f>
        <v/>
      </c>
      <c r="E11" s="11" t="inlineStr">
        <is>
          <t>No</t>
        </is>
      </c>
      <c r="F11" s="11" t="n">
        <v>10</v>
      </c>
      <c r="G11" s="11" t="inlineStr">
        <is>
          <t>Best, top 10, recommended, worth it, should I buy/hire - the queries AI answers with shortlists of brands.</t>
        </is>
      </c>
      <c r="H11" s="11">
        <f>COUNTIFS('AI Queries'!$F$2:$F$59,"*"&amp;A11&amp;"*",'AI Queries'!$C$2:$C$59,"Yes")</f>
        <v/>
      </c>
      <c r="I11" s="12">
        <f>SUMIFS('AI Queries'!$J$2:$J$59,'AI Queries'!$F$2:$F$59,"*"&amp;A11&amp;"*",'AI Queries'!$C$2:$C$59,"Yes")</f>
        <v/>
      </c>
      <c r="J11" s="11">
        <f>SUMIFS('AI Queries'!$I$2:$I$59,'AI Queries'!$F$2:$F$59,"*"&amp;A11&amp;"*",'AI Queries'!$C$2:$C$59,"Yes")</f>
        <v/>
      </c>
    </row>
    <row r="12">
      <c r="A12" s="11" t="inlineStr">
        <is>
          <t>R08</t>
        </is>
      </c>
      <c r="B12" s="11" t="inlineStr">
        <is>
          <t>Constraints &amp; specifics</t>
        </is>
      </c>
      <c r="C12" s="19" t="inlineStr">
        <is>
          <t>(?i)\b(for beginners|for a small|for small|for my|for someone|step by step|under \$?\d+|less than|on a budget|without|checklist|template|example|examples|in 20\d\d|for 20\d\d)\b</t>
        </is>
      </c>
      <c r="D12" s="11">
        <f>LEN(C12)</f>
        <v/>
      </c>
      <c r="E12" s="11" t="inlineStr">
        <is>
          <t>No</t>
        </is>
      </c>
      <c r="F12" s="11" t="n">
        <v>10</v>
      </c>
      <c r="G12" s="11" t="inlineStr">
        <is>
          <t>Extra conditions people add when they expect a tailored answer: for beginners, under $500, step by step, without, checklist.</t>
        </is>
      </c>
      <c r="H12" s="11">
        <f>COUNTIFS('AI Queries'!$F$2:$F$59,"*"&amp;A12&amp;"*",'AI Queries'!$C$2:$C$59,"Yes")</f>
        <v/>
      </c>
      <c r="I12" s="12">
        <f>SUMIFS('AI Queries'!$J$2:$J$59,'AI Queries'!$F$2:$F$59,"*"&amp;A12&amp;"*",'AI Queries'!$C$2:$C$59,"Yes")</f>
        <v/>
      </c>
      <c r="J12" s="11">
        <f>SUMIFS('AI Queries'!$I$2:$I$59,'AI Queries'!$F$2:$F$59,"*"&amp;A12&amp;"*",'AI Queries'!$C$2:$C$59,"Yes")</f>
        <v/>
      </c>
    </row>
    <row r="13">
      <c r="A13" s="11" t="inlineStr">
        <is>
          <t>R09</t>
        </is>
      </c>
      <c r="B13" s="11" t="inlineStr">
        <is>
          <t>How / why / is-it reasoning</t>
        </is>
      </c>
      <c r="C13" s="19" t="inlineStr">
        <is>
          <t>(?i)\b(how (to|do|does|can|long|much|many|often)|why (is|do|does|are|would)|what (is|are|does|happens|should)|is it (safe|worth|possible|legal|true|normal|ok|okay|better)|does it|can i|should i|do i need)\b</t>
        </is>
      </c>
      <c r="D13" s="11">
        <f>LEN(C13)</f>
        <v/>
      </c>
      <c r="E13" s="11" t="inlineStr">
        <is>
          <t>Yes</t>
        </is>
      </c>
      <c r="F13" s="11" t="n">
        <v>15</v>
      </c>
      <c r="G13" s="11" t="inlineStr">
        <is>
          <t>Explanation and decision questions anywhere in the query: how long, why does, is it worth, do I need, can I.</t>
        </is>
      </c>
      <c r="H13" s="11">
        <f>COUNTIFS('AI Queries'!$F$2:$F$59,"*"&amp;A13&amp;"*",'AI Queries'!$C$2:$C$59,"Yes")</f>
        <v/>
      </c>
      <c r="I13" s="12">
        <f>SUMIFS('AI Queries'!$J$2:$J$59,'AI Queries'!$F$2:$F$59,"*"&amp;A13&amp;"*",'AI Queries'!$C$2:$C$59,"Yes")</f>
        <v/>
      </c>
      <c r="J13" s="11">
        <f>SUMIFS('AI Queries'!$I$2:$I$59,'AI Queries'!$F$2:$F$59,"*"&amp;A13&amp;"*",'AI Queries'!$C$2:$C$59,"Yes")</f>
        <v/>
      </c>
    </row>
    <row r="14">
      <c r="A14" s="11" t="inlineStr">
        <is>
          <t>R10</t>
        </is>
      </c>
      <c r="B14" s="11" t="inlineStr">
        <is>
          <t>AI tool mention / leaked prompt</t>
        </is>
      </c>
      <c r="C14" s="19" t="inlineStr">
        <is>
          <t>(?i)(chatgpt|chat gpt|openai|gpt-?[0-9]|gemini|claude|perplexity|copilot|ai overview|ai mode|\bllm\b|https?://|www\.|\.com/)</t>
        </is>
      </c>
      <c r="D14" s="11">
        <f>LEN(C14)</f>
        <v/>
      </c>
      <c r="E14" s="11" t="inlineStr">
        <is>
          <t>Yes</t>
        </is>
      </c>
      <c r="F14" s="11" t="n">
        <v>40</v>
      </c>
      <c r="G14" s="11" t="inlineStr">
        <is>
          <t>Queries naming an AI tool, or URL-prefixed prompts like the ChatGPT queries reported leaking into GSC in late 2025.</t>
        </is>
      </c>
      <c r="H14" s="11">
        <f>COUNTIFS('AI Queries'!$F$2:$F$59,"*"&amp;A14&amp;"*",'AI Queries'!$C$2:$C$59,"Yes")</f>
        <v/>
      </c>
      <c r="I14" s="12">
        <f>SUMIFS('AI Queries'!$J$2:$J$59,'AI Queries'!$F$2:$F$59,"*"&amp;A14&amp;"*",'AI Queries'!$C$2:$C$59,"Yes")</f>
        <v/>
      </c>
      <c r="J14" s="11">
        <f>SUMIFS('AI Queries'!$I$2:$I$59,'AI Queries'!$F$2:$F$59,"*"&amp;A14&amp;"*",'AI Queries'!$C$2:$C$59,"Yes")</f>
        <v/>
      </c>
    </row>
    <row r="15">
      <c r="A15" s="20" t="inlineStr">
        <is>
          <t>MASTER</t>
        </is>
      </c>
      <c r="B15" s="20" t="inlineStr">
        <is>
          <t>Master regex (paste this first)</t>
        </is>
      </c>
      <c r="C15" s="21" t="inlineStr">
        <is>
          <t>(?i)^\S+(\s+\S+){9,}$|^\S+(\s+\S+){6,8}$|^(who|whom|whose|what|whats|what's|when|where|why|how|which|is|are|was|were|am|can|could|should|would|will|do|does|did|has|have)\s|^(give|show|tell|help|explain|list|compare|recommend|suggest|find|create|write|generate|make|summarise|summarize|describe|plan|calculate|teach|guide|walk|act|pretend|please|i need|i want|im looking|i'm looking|i am looking|looking for|can you|could you)\b|\b(i|im|i'm|ive|i've|my|me|we|our|mine)\b|\b(how (to|do|does|can|long|much|many|often)|why (is|do|does|are|would)|what (is|are|does|happens|should)|is it (safe|worth|possible|legal|true|normal|ok|okay|better)|does it|can i|should i|do i need)\b|(chatgpt|chat gpt|openai|gpt-?[0-9]|gemini|claude|perplexity|copilot|ai overview|ai mode|\bllm\b|https?://|www\.|\.com/)</t>
        </is>
      </c>
      <c r="D15" s="20">
        <f>LEN(C15)</f>
        <v/>
      </c>
      <c r="E15" s="20" t="inlineStr">
        <is>
          <t>-</t>
        </is>
      </c>
      <c r="F15" s="20" t="inlineStr">
        <is>
          <t>-</t>
        </is>
      </c>
      <c r="G15" s="20" t="inlineStr">
        <is>
          <t>OR of every family marked 'in master'. Use it for the first pull; run single families to get past the 1,000-row cap.</t>
        </is>
      </c>
      <c r="H15" s="20">
        <f>COUNTIF('AI Queries'!$C$2:$C$59,"Yes")</f>
        <v/>
      </c>
      <c r="I15" s="22">
        <f>SUMIFS('AI Queries'!$J$2:$J$59,'AI Queries'!$C$2:$C$59,"Yes")</f>
        <v/>
      </c>
      <c r="J15" s="20">
        <f>SUMIFS('AI Queries'!$I$2:$I$59,'AI Queries'!$C$2:$C$59,"Yes")</f>
        <v/>
      </c>
    </row>
  </sheetData>
  <autoFilter ref="A4:J15"/>
  <conditionalFormatting sqref="D5:D15">
    <cfRule type="cellIs" priority="1" operator="greaterThan" dxfId="0">
      <formula>4096</formula>
    </cfRule>
  </conditionalFormatting>
  <pageMargins left="0.75" right="0.75" top="1" bottom="1" header="0.5" footer="0.5"/>
</worksheet>
</file>

<file path=xl/worksheets/sheet4.xml><?xml version="1.0" encoding="utf-8"?>
<worksheet xmlns="http://schemas.openxmlformats.org/spreadsheetml/2006/main">
  <sheetPr>
    <tabColor rgb="00A78BFA"/>
    <outlinePr summaryBelow="1" summaryRight="1"/>
    <pageSetUpPr/>
  </sheetPr>
  <dimension ref="A1:O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9" customWidth="1" min="3" max="3"/>
    <col width="8" customWidth="1" min="4" max="4"/>
    <col width="8" customWidth="1" min="5" max="5"/>
    <col width="11" customWidth="1" min="6" max="6"/>
    <col width="8" customWidth="1" min="7" max="7"/>
    <col width="9" customWidth="1" min="8" max="8"/>
    <col width="9" customWidth="1" min="9" max="9"/>
    <col width="10" customWidth="1" min="10" max="10"/>
    <col width="10" customWidth="1" min="11" max="11"/>
    <col width="13" customWidth="1" min="12" max="12"/>
    <col width="20" customWidth="1" min="13" max="13"/>
    <col width="38" customWidth="1" min="14" max="14"/>
    <col width="60" customWidth="1" min="15" max="15"/>
  </cols>
  <sheetData>
    <row r="1" ht="32" customHeight="1">
      <c r="A1" s="10" t="inlineStr">
        <is>
          <t>ID</t>
        </is>
      </c>
      <c r="B1" s="10" t="inlineStr">
        <is>
          <t>Topic</t>
        </is>
      </c>
      <c r="C1" s="10" t="inlineStr">
        <is>
          <t>Priority</t>
        </is>
      </c>
      <c r="D1" s="10" t="inlineStr">
        <is>
          <t>Queries</t>
        </is>
      </c>
      <c r="E1" s="10" t="inlineStr">
        <is>
          <t>Clicks</t>
        </is>
      </c>
      <c r="F1" s="10" t="inlineStr">
        <is>
          <t>Impressions</t>
        </is>
      </c>
      <c r="G1" s="10" t="inlineStr">
        <is>
          <t>CTR</t>
        </is>
      </c>
      <c r="H1" s="10" t="inlineStr">
        <is>
          <t>Avg position</t>
        </is>
      </c>
      <c r="I1" s="10" t="inlineStr">
        <is>
          <t>Avg AI score</t>
        </is>
      </c>
      <c r="J1" s="10" t="inlineStr">
        <is>
          <t>AI Overview likely</t>
        </is>
      </c>
      <c r="K1" s="10" t="inlineStr">
        <is>
          <t>Est. extra clicks</t>
        </is>
      </c>
      <c r="L1" s="10" t="inlineStr">
        <is>
          <t>Main intent</t>
        </is>
      </c>
      <c r="M1" s="10" t="inlineStr">
        <is>
          <t>Position buckets</t>
        </is>
      </c>
      <c r="N1" s="10" t="inlineStr">
        <is>
          <t>Pages</t>
        </is>
      </c>
      <c r="O1" s="10" t="inlineStr">
        <is>
          <t>Top queries</t>
        </is>
      </c>
    </row>
    <row r="2">
      <c r="A2" s="11" t="inlineStr">
        <is>
          <t>T1</t>
        </is>
      </c>
      <c r="B2" s="11" t="inlineStr">
        <is>
          <t>Cost &amp; price</t>
        </is>
      </c>
      <c r="C2" s="23" t="inlineStr">
        <is>
          <t>High</t>
        </is>
      </c>
      <c r="D2" s="11">
        <f>COUNTIFS('AI Queries'!$H$2:$H$59,A2,'AI Queries'!$C$2:$C$59,"Yes")</f>
        <v/>
      </c>
      <c r="E2" s="11">
        <f>SUMIFS('AI Queries'!$I$2:$I$59,'AI Queries'!$H$2:$H$59,A2)</f>
        <v/>
      </c>
      <c r="F2" s="12">
        <f>SUMIFS('AI Queries'!$J$2:$J$59,'AI Queries'!$H$2:$H$59,A2)</f>
        <v/>
      </c>
      <c r="G2" s="15">
        <f>IF(F2&gt;0,E2/F2,0)</f>
        <v/>
      </c>
      <c r="H2" s="11" t="n">
        <v>7.5</v>
      </c>
      <c r="I2" s="11" t="n">
        <v>62</v>
      </c>
      <c r="J2" s="11">
        <f>COUNTIFS('AI Queries'!$H$2:$H$59,A2,'AI Queries'!$N$2:$N$59,"Yes")</f>
        <v/>
      </c>
      <c r="K2" s="11">
        <f>SUMIFS('AI Queries'!$Q$2:$Q$59,'AI Queries'!$H$2:$H$59,A2)</f>
        <v/>
      </c>
      <c r="L2" s="11" t="inlineStr">
        <is>
          <t>Transactional</t>
        </is>
      </c>
      <c r="M2" s="11" t="inlineStr">
        <is>
          <t>4-10 4, 11-20 2, Top 3 1, 21+ 1</t>
        </is>
      </c>
      <c r="N2" s="11" t="inlineStr"/>
      <c r="O2" s="11" t="inlineStr">
        <is>
          <t>how much does epoxy flooring cost per square metre
how much does it cost to epoxy a double garage
what is the cheapest way to resurface a garage floor
why is epoxy flooring so expensive
how much should i pay for epoxy flooring on the gold coast
what affects the price of epoxy flooring
epoxy flooring cost for a 6x6 garage with crack repair included
chatgpt epoxy garage floor cost australia</t>
        </is>
      </c>
    </row>
    <row r="3">
      <c r="A3" s="11" t="inlineStr">
        <is>
          <t>T2</t>
        </is>
      </c>
      <c r="B3" s="11" t="inlineStr">
        <is>
          <t>How long / timing</t>
        </is>
      </c>
      <c r="C3" s="23" t="inlineStr">
        <is>
          <t>High</t>
        </is>
      </c>
      <c r="D3" s="11">
        <f>COUNTIFS('AI Queries'!$H$2:$H$59,A3,'AI Queries'!$C$2:$C$59,"Yes")</f>
        <v/>
      </c>
      <c r="E3" s="11">
        <f>SUMIFS('AI Queries'!$I$2:$I$59,'AI Queries'!$H$2:$H$59,A3)</f>
        <v/>
      </c>
      <c r="F3" s="12">
        <f>SUMIFS('AI Queries'!$J$2:$J$59,'AI Queries'!$H$2:$H$59,A3)</f>
        <v/>
      </c>
      <c r="G3" s="15">
        <f>IF(F3&gt;0,E3/F3,0)</f>
        <v/>
      </c>
      <c r="H3" s="11" t="n">
        <v>2.7</v>
      </c>
      <c r="I3" s="11" t="n">
        <v>75</v>
      </c>
      <c r="J3" s="11">
        <f>COUNTIFS('AI Queries'!$H$2:$H$59,A3,'AI Queries'!$N$2:$N$59,"Yes")</f>
        <v/>
      </c>
      <c r="K3" s="11">
        <f>SUMIFS('AI Queries'!$Q$2:$Q$59,'AI Queries'!$H$2:$H$59,A3)</f>
        <v/>
      </c>
      <c r="L3" s="11" t="inlineStr">
        <is>
          <t>Informational</t>
        </is>
      </c>
      <c r="M3" s="11" t="inlineStr">
        <is>
          <t>4-10 3, Top 3 1</t>
        </is>
      </c>
      <c r="N3" s="11" t="inlineStr"/>
      <c r="O3" s="11" t="inlineStr">
        <is>
          <t>how long does epoxy garage floor last
how long after epoxy can i drive on it
how long does an epoxy floor last in a garage in queensland
how long does epoxy take to cure before parking a car</t>
        </is>
      </c>
    </row>
    <row r="4">
      <c r="A4" s="11" t="inlineStr">
        <is>
          <t>T3</t>
        </is>
      </c>
      <c r="B4" s="11" t="inlineStr">
        <is>
          <t>Choosing &amp; comparing: company</t>
        </is>
      </c>
      <c r="C4" s="23" t="inlineStr">
        <is>
          <t>High</t>
        </is>
      </c>
      <c r="D4" s="11">
        <f>COUNTIFS('AI Queries'!$H$2:$H$59,A4,'AI Queries'!$C$2:$C$59,"Yes")</f>
        <v/>
      </c>
      <c r="E4" s="11">
        <f>SUMIFS('AI Queries'!$I$2:$I$59,'AI Queries'!$H$2:$H$59,A4)</f>
        <v/>
      </c>
      <c r="F4" s="12">
        <f>SUMIFS('AI Queries'!$J$2:$J$59,'AI Queries'!$H$2:$H$59,A4)</f>
        <v/>
      </c>
      <c r="G4" s="15">
        <f>IF(F4&gt;0,E4/F4,0)</f>
        <v/>
      </c>
      <c r="H4" s="11" t="n">
        <v>10.1</v>
      </c>
      <c r="I4" s="11" t="n">
        <v>67</v>
      </c>
      <c r="J4" s="11">
        <f>COUNTIFS('AI Queries'!$H$2:$H$59,A4,'AI Queries'!$N$2:$N$59,"Yes")</f>
        <v/>
      </c>
      <c r="K4" s="11">
        <f>SUMIFS('AI Queries'!$Q$2:$Q$59,'AI Queries'!$H$2:$H$59,A4)</f>
        <v/>
      </c>
      <c r="L4" s="11" t="inlineStr">
        <is>
          <t>Commercial</t>
        </is>
      </c>
      <c r="M4" s="11" t="inlineStr">
        <is>
          <t>4-10 7, 11-20 2, 21+ 1</t>
        </is>
      </c>
      <c r="N4" s="11" t="inlineStr"/>
      <c r="O4" s="11" t="inlineStr">
        <is>
          <t>is epoxy flooring worth it for a garage
what is the best epoxy for garage floors
what flooring is best for a warehouse with forklifts
what is the difference between epoxy and polyaspartic coatings
is epoxy garage flooring worth the money or should i just paint it
which is better flake or metallic epoxy for a garage
what colour epoxy floor hides dirt best
compare epoxy flooring companies on the gold coast</t>
        </is>
      </c>
    </row>
    <row r="5">
      <c r="A5" s="11" t="inlineStr">
        <is>
          <t>T4</t>
        </is>
      </c>
      <c r="B5" s="11" t="inlineStr">
        <is>
          <t>Cleaning &amp; care</t>
        </is>
      </c>
      <c r="C5" s="24" t="inlineStr">
        <is>
          <t>Medium</t>
        </is>
      </c>
      <c r="D5" s="11">
        <f>COUNTIFS('AI Queries'!$H$2:$H$59,A5,'AI Queries'!$C$2:$C$59,"Yes")</f>
        <v/>
      </c>
      <c r="E5" s="11">
        <f>SUMIFS('AI Queries'!$I$2:$I$59,'AI Queries'!$H$2:$H$59,A5)</f>
        <v/>
      </c>
      <c r="F5" s="12">
        <f>SUMIFS('AI Queries'!$J$2:$J$59,'AI Queries'!$H$2:$H$59,A5)</f>
        <v/>
      </c>
      <c r="G5" s="15">
        <f>IF(F5&gt;0,E5/F5,0)</f>
        <v/>
      </c>
      <c r="H5" s="11" t="n">
        <v>5.5</v>
      </c>
      <c r="I5" s="11" t="n">
        <v>67</v>
      </c>
      <c r="J5" s="11">
        <f>COUNTIFS('AI Queries'!$H$2:$H$59,A5,'AI Queries'!$N$2:$N$59,"Yes")</f>
        <v/>
      </c>
      <c r="K5" s="11">
        <f>SUMIFS('AI Queries'!$Q$2:$Q$59,'AI Queries'!$H$2:$H$59,A5)</f>
        <v/>
      </c>
      <c r="L5" s="11" t="inlineStr">
        <is>
          <t>Informational</t>
        </is>
      </c>
      <c r="M5" s="11" t="inlineStr">
        <is>
          <t>4-10 3, 11-20 2, Top 3 1</t>
        </is>
      </c>
      <c r="N5" s="11" t="inlineStr"/>
      <c r="O5" s="11" t="inlineStr">
        <is>
          <t>how do you clean an epoxy garage floor
how to clean epoxy floors without making them slippery
can i use vinegar to clean my epoxy floor
how to remove tyre marks from epoxy garage floor
is metallic epoxy hard to maintain
i want a durable garage floor that looks good and is easy to clean what are my options</t>
        </is>
      </c>
    </row>
    <row r="6">
      <c r="A6" s="11" t="inlineStr">
        <is>
          <t>T5</t>
        </is>
      </c>
      <c r="B6" s="11" t="inlineStr">
        <is>
          <t>Problems &amp; fixes: concrete</t>
        </is>
      </c>
      <c r="C6" s="24" t="inlineStr">
        <is>
          <t>Medium</t>
        </is>
      </c>
      <c r="D6" s="11">
        <f>COUNTIFS('AI Queries'!$H$2:$H$59,A6,'AI Queries'!$C$2:$C$59,"Yes")</f>
        <v/>
      </c>
      <c r="E6" s="11">
        <f>SUMIFS('AI Queries'!$I$2:$I$59,'AI Queries'!$H$2:$H$59,A6)</f>
        <v/>
      </c>
      <c r="F6" s="12">
        <f>SUMIFS('AI Queries'!$J$2:$J$59,'AI Queries'!$H$2:$H$59,A6)</f>
        <v/>
      </c>
      <c r="G6" s="15">
        <f>IF(F6&gt;0,E6/F6,0)</f>
        <v/>
      </c>
      <c r="H6" s="11" t="n">
        <v>13.9</v>
      </c>
      <c r="I6" s="11" t="n">
        <v>67</v>
      </c>
      <c r="J6" s="11">
        <f>COUNTIFS('AI Queries'!$H$2:$H$59,A6,'AI Queries'!$N$2:$N$59,"Yes")</f>
        <v/>
      </c>
      <c r="K6" s="11">
        <f>SUMIFS('AI Queries'!$Q$2:$Q$59,'AI Queries'!$H$2:$H$59,A6)</f>
        <v/>
      </c>
      <c r="L6" s="11" t="inlineStr">
        <is>
          <t>Informational</t>
        </is>
      </c>
      <c r="M6" s="11" t="inlineStr">
        <is>
          <t>11-20 3, 21+ 2, 4-10 1</t>
        </is>
      </c>
      <c r="N6" s="11" t="inlineStr"/>
      <c r="O6" s="11" t="inlineStr">
        <is>
          <t>can you put epoxy over cracked concrete
why does diy epoxy peel off garage floors
should i fix cracks in concrete before epoxy
why is my epoxy floor peeling after one year
i have cracks in my garage floor can i still get epoxy coating
my epoxy floor has bubbles what went wrong</t>
        </is>
      </c>
    </row>
    <row r="7">
      <c r="A7" s="11" t="inlineStr">
        <is>
          <t>T6</t>
        </is>
      </c>
      <c r="B7" s="11" t="inlineStr">
        <is>
          <t>Safety &amp; standards</t>
        </is>
      </c>
      <c r="C7" s="24" t="inlineStr">
        <is>
          <t>Medium</t>
        </is>
      </c>
      <c r="D7" s="11">
        <f>COUNTIFS('AI Queries'!$H$2:$H$59,A7,'AI Queries'!$C$2:$C$59,"Yes")</f>
        <v/>
      </c>
      <c r="E7" s="11">
        <f>SUMIFS('AI Queries'!$I$2:$I$59,'AI Queries'!$H$2:$H$59,A7)</f>
        <v/>
      </c>
      <c r="F7" s="12">
        <f>SUMIFS('AI Queries'!$J$2:$J$59,'AI Queries'!$H$2:$H$59,A7)</f>
        <v/>
      </c>
      <c r="G7" s="15">
        <f>IF(F7&gt;0,E7/F7,0)</f>
        <v/>
      </c>
      <c r="H7" s="11" t="n">
        <v>14</v>
      </c>
      <c r="I7" s="11" t="n">
        <v>46</v>
      </c>
      <c r="J7" s="11">
        <f>COUNTIFS('AI Queries'!$H$2:$H$59,A7,'AI Queries'!$N$2:$N$59,"Yes")</f>
        <v/>
      </c>
      <c r="K7" s="11">
        <f>SUMIFS('AI Queries'!$Q$2:$Q$59,'AI Queries'!$H$2:$H$59,A7)</f>
        <v/>
      </c>
      <c r="L7" s="11" t="inlineStr">
        <is>
          <t>Informational</t>
        </is>
      </c>
      <c r="M7" s="11" t="inlineStr">
        <is>
          <t>21+ 2, 4-10 1, 11-20 1</t>
        </is>
      </c>
      <c r="N7" s="11" t="inlineStr"/>
      <c r="O7" s="11" t="inlineStr">
        <is>
          <t>is epoxy flooring slippery when wet
is epoxy flooring toxic once cured
how do i make my epoxy floor less slippery
does epoxy flooring meet food safety standards in australia</t>
        </is>
      </c>
    </row>
    <row r="8">
      <c r="A8" s="11" t="inlineStr">
        <is>
          <t>T7</t>
        </is>
      </c>
      <c r="B8" s="11" t="inlineStr">
        <is>
          <t>General epoxy questions</t>
        </is>
      </c>
      <c r="C8" s="24" t="inlineStr">
        <is>
          <t>Medium</t>
        </is>
      </c>
      <c r="D8" s="11">
        <f>COUNTIFS('AI Queries'!$H$2:$H$59,A8,'AI Queries'!$C$2:$C$59,"Yes")</f>
        <v/>
      </c>
      <c r="E8" s="11">
        <f>SUMIFS('AI Queries'!$I$2:$I$59,'AI Queries'!$H$2:$H$59,A8)</f>
        <v/>
      </c>
      <c r="F8" s="12">
        <f>SUMIFS('AI Queries'!$J$2:$J$59,'AI Queries'!$H$2:$H$59,A8)</f>
        <v/>
      </c>
      <c r="G8" s="15">
        <f>IF(F8&gt;0,E8/F8,0)</f>
        <v/>
      </c>
      <c r="H8" s="11" t="n">
        <v>23.3</v>
      </c>
      <c r="I8" s="11" t="n">
        <v>58</v>
      </c>
      <c r="J8" s="11">
        <f>COUNTIFS('AI Queries'!$H$2:$H$59,A8,'AI Queries'!$N$2:$N$59,"Yes")</f>
        <v/>
      </c>
      <c r="K8" s="11">
        <f>SUMIFS('AI Queries'!$Q$2:$Q$59,'AI Queries'!$H$2:$H$59,A8)</f>
        <v/>
      </c>
      <c r="L8" s="11" t="inlineStr">
        <is>
          <t>Informational</t>
        </is>
      </c>
      <c r="M8" s="11" t="inlineStr">
        <is>
          <t>21+ 2, 11-20 2, 4-10 1</t>
        </is>
      </c>
      <c r="N8" s="11" t="inlineStr"/>
      <c r="O8" s="11" t="inlineStr">
        <is>
          <t>can epoxy be applied over tiles
can you epoxy a pool deck or outdoor patio
how thick should an epoxy garage floor be
explain the steps of applying epoxy flooring
give me a checklist for preparing a garage floor for epoxy</t>
        </is>
      </c>
    </row>
    <row r="9">
      <c r="A9" s="11" t="inlineStr">
        <is>
          <t>T8</t>
        </is>
      </c>
      <c r="B9" s="11" t="inlineStr">
        <is>
          <t>Concrete: polished</t>
        </is>
      </c>
      <c r="C9" s="24" t="inlineStr">
        <is>
          <t>Medium</t>
        </is>
      </c>
      <c r="D9" s="11">
        <f>COUNTIFS('AI Queries'!$H$2:$H$59,A9,'AI Queries'!$C$2:$C$59,"Yes")</f>
        <v/>
      </c>
      <c r="E9" s="11">
        <f>SUMIFS('AI Queries'!$I$2:$I$59,'AI Queries'!$H$2:$H$59,A9)</f>
        <v/>
      </c>
      <c r="F9" s="12">
        <f>SUMIFS('AI Queries'!$J$2:$J$59,'AI Queries'!$H$2:$H$59,A9)</f>
        <v/>
      </c>
      <c r="G9" s="15">
        <f>IF(F9&gt;0,E9/F9,0)</f>
        <v/>
      </c>
      <c r="H9" s="11" t="n">
        <v>10.9</v>
      </c>
      <c r="I9" s="11" t="n">
        <v>80</v>
      </c>
      <c r="J9" s="11">
        <f>COUNTIFS('AI Queries'!$H$2:$H$59,A9,'AI Queries'!$N$2:$N$59,"Yes")</f>
        <v/>
      </c>
      <c r="K9" s="11">
        <f>SUMIFS('AI Queries'!$Q$2:$Q$59,'AI Queries'!$H$2:$H$59,A9)</f>
        <v/>
      </c>
      <c r="L9" s="11" t="inlineStr">
        <is>
          <t>Commercial</t>
        </is>
      </c>
      <c r="M9" s="11" t="inlineStr">
        <is>
          <t>4-10 1, 11-20 1</t>
        </is>
      </c>
      <c r="N9" s="11" t="inlineStr"/>
      <c r="O9" s="11" t="inlineStr">
        <is>
          <t>is polished concrete better than epoxy for a home
should i choose epoxy or polished concrete for my house in a humid climate</t>
        </is>
      </c>
    </row>
    <row r="10">
      <c r="A10" s="11" t="inlineStr">
        <is>
          <t>T9</t>
        </is>
      </c>
      <c r="B10" s="11" t="inlineStr">
        <is>
          <t>Commercial</t>
        </is>
      </c>
      <c r="C10" s="17" t="inlineStr">
        <is>
          <t>Low</t>
        </is>
      </c>
      <c r="D10" s="11">
        <f>COUNTIFS('AI Queries'!$H$2:$H$59,A10,'AI Queries'!$C$2:$C$59,"Yes")</f>
        <v/>
      </c>
      <c r="E10" s="11">
        <f>SUMIFS('AI Queries'!$I$2:$I$59,'AI Queries'!$H$2:$H$59,A10)</f>
        <v/>
      </c>
      <c r="F10" s="12">
        <f>SUMIFS('AI Queries'!$J$2:$J$59,'AI Queries'!$H$2:$H$59,A10)</f>
        <v/>
      </c>
      <c r="G10" s="15">
        <f>IF(F10&gt;0,E10/F10,0)</f>
        <v/>
      </c>
      <c r="H10" s="11" t="n">
        <v>15</v>
      </c>
      <c r="I10" s="11" t="n">
        <v>52</v>
      </c>
      <c r="J10" s="11">
        <f>COUNTIFS('AI Queries'!$H$2:$H$59,A10,'AI Queries'!$N$2:$N$59,"Yes")</f>
        <v/>
      </c>
      <c r="K10" s="11">
        <f>SUMIFS('AI Queries'!$Q$2:$Q$59,'AI Queries'!$H$2:$H$59,A10)</f>
        <v/>
      </c>
      <c r="L10" s="11" t="inlineStr">
        <is>
          <t>Informational</t>
        </is>
      </c>
      <c r="M10" s="11" t="inlineStr">
        <is>
          <t>11-20 2</t>
        </is>
      </c>
      <c r="N10" s="11" t="inlineStr"/>
      <c r="O10" s="11" t="inlineStr">
        <is>
          <t>is epoxy flooring good for a commercial kitchen
what is commercial epoxy flooring used for</t>
        </is>
      </c>
    </row>
    <row r="11">
      <c r="A11" s="11" t="inlineStr">
        <is>
          <t>T10</t>
        </is>
      </c>
      <c r="B11" s="11" t="inlineStr">
        <is>
          <t>Other AI-style queries</t>
        </is>
      </c>
      <c r="C11" s="17" t="inlineStr">
        <is>
          <t>Low</t>
        </is>
      </c>
      <c r="D11" s="11">
        <f>COUNTIFS('AI Queries'!$H$2:$H$59,A11,'AI Queries'!$C$2:$C$59,"Yes")</f>
        <v/>
      </c>
      <c r="E11" s="11">
        <f>SUMIFS('AI Queries'!$I$2:$I$59,'AI Queries'!$H$2:$H$59,A11)</f>
        <v/>
      </c>
      <c r="F11" s="12">
        <f>SUMIFS('AI Queries'!$J$2:$J$59,'AI Queries'!$H$2:$H$59,A11)</f>
        <v/>
      </c>
      <c r="G11" s="15">
        <f>IF(F11&gt;0,E11/F11,0)</f>
        <v/>
      </c>
      <c r="H11" s="11" t="n">
        <v>9</v>
      </c>
      <c r="I11" s="11" t="n">
        <v>61</v>
      </c>
      <c r="J11" s="11">
        <f>COUNTIFS('AI Queries'!$H$2:$H$59,A11,'AI Queries'!$N$2:$N$59,"Yes")</f>
        <v/>
      </c>
      <c r="K11" s="11">
        <f>SUMIFS('AI Queries'!$Q$2:$Q$59,'AI Queries'!$H$2:$H$59,A11)</f>
        <v/>
      </c>
      <c r="L11" s="11" t="inlineStr">
        <is>
          <t>Informational</t>
        </is>
      </c>
      <c r="M11" s="11" t="inlineStr">
        <is>
          <t>21+ 3, 11-20 2, Top 3 1, 4-10 1</t>
        </is>
      </c>
      <c r="N11" s="11" t="inlineStr"/>
      <c r="O11" s="11" t="inlineStr">
        <is>
          <t>what is flake epoxy flooring
can i do epoxy flooring myself or should i hire a professional
what should you not use on epoxy floors
does epoxy flooring add value to a house when selling
we are building a new home when should we epoxy the garage
my garage floor gets wet in summer will epoxy still work
according to ai what is the most durable garage floor coating</t>
        </is>
      </c>
    </row>
  </sheetData>
  <autoFilter ref="A1:O11"/>
  <conditionalFormatting sqref="F2:F11">
    <cfRule type="colorScale" priority="1">
      <colorScale>
        <cfvo type="min"/>
        <cfvo type="max"/>
        <color rgb="00FFFFFF"/>
        <color rgb="0022D3EE"/>
      </colorScale>
    </cfRule>
  </conditionalFormatting>
  <pageMargins left="0.75" right="0.75" top="1" bottom="1" header="0.5" footer="0.5"/>
</worksheet>
</file>

<file path=xl/worksheets/sheet5.xml><?xml version="1.0" encoding="utf-8"?>
<worksheet xmlns="http://schemas.openxmlformats.org/spreadsheetml/2006/main">
  <sheetPr>
    <tabColor rgb="00A78BFA"/>
    <outlinePr summaryBelow="1" summaryRight="1"/>
    <pageSetUpPr/>
  </sheetPr>
  <dimension ref="A1:N5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8" customWidth="1" min="1" max="1"/>
    <col width="7" customWidth="1" min="2" max="2"/>
    <col width="13" customWidth="1" min="3" max="3"/>
    <col width="11" customWidth="1" min="4" max="4"/>
    <col width="8" customWidth="1" min="5" max="5"/>
    <col width="8" customWidth="1" min="6" max="6"/>
    <col width="9" customWidth="1" min="7" max="7"/>
    <col width="9" customWidth="1" min="8" max="8"/>
    <col width="10" customWidth="1" min="9" max="9"/>
    <col width="32" customWidth="1" min="10" max="10"/>
    <col width="9" customWidth="1" min="11" max="11"/>
    <col width="10" customWidth="1" min="12" max="12"/>
    <col width="9" customWidth="1" min="13" max="13"/>
    <col width="40" customWidth="1" min="14" max="14"/>
  </cols>
  <sheetData>
    <row r="1" ht="32" customHeight="1">
      <c r="A1" s="10" t="inlineStr">
        <is>
          <t>Query</t>
        </is>
      </c>
      <c r="B1" s="10" t="inlineStr">
        <is>
          <t>Topic</t>
        </is>
      </c>
      <c r="C1" s="10" t="inlineStr">
        <is>
          <t>Intent</t>
        </is>
      </c>
      <c r="D1" s="10" t="inlineStr">
        <is>
          <t>Impressions</t>
        </is>
      </c>
      <c r="E1" s="10" t="inlineStr">
        <is>
          <t>Clicks</t>
        </is>
      </c>
      <c r="F1" s="10" t="inlineStr">
        <is>
          <t>CTR</t>
        </is>
      </c>
      <c r="G1" s="10" t="inlineStr">
        <is>
          <t>Position</t>
        </is>
      </c>
      <c r="H1" s="10" t="inlineStr">
        <is>
          <t>Bucket</t>
        </is>
      </c>
      <c r="I1" s="10" t="inlineStr">
        <is>
          <t>AI Overview likely</t>
        </is>
      </c>
      <c r="J1" s="10" t="inlineStr">
        <is>
          <t>Action type</t>
        </is>
      </c>
      <c r="K1" s="10" t="inlineStr">
        <is>
          <t>Target CTR</t>
        </is>
      </c>
      <c r="L1" s="10" t="inlineStr">
        <is>
          <t>Est. extra clicks</t>
        </is>
      </c>
      <c r="M1" s="10" t="inlineStr">
        <is>
          <t>Priority</t>
        </is>
      </c>
      <c r="N1" s="10" t="inlineStr">
        <is>
          <t>Page</t>
        </is>
      </c>
    </row>
    <row r="2">
      <c r="A2" s="11" t="inlineStr">
        <is>
          <t>how much does epoxy flooring cost per square metre</t>
        </is>
      </c>
      <c r="B2" s="11" t="inlineStr">
        <is>
          <t>T1</t>
        </is>
      </c>
      <c r="C2" s="11" t="inlineStr">
        <is>
          <t>Transactional</t>
        </is>
      </c>
      <c r="D2" s="12" t="n">
        <v>3100</v>
      </c>
      <c r="E2" s="11" t="n">
        <v>58</v>
      </c>
      <c r="F2" s="15">
        <f>IF(D2&gt;0,E2/D2,0)</f>
        <v/>
      </c>
      <c r="G2" s="11" t="n">
        <v>3</v>
      </c>
      <c r="H2" s="11" t="inlineStr">
        <is>
          <t>Top 3</t>
        </is>
      </c>
      <c r="I2" s="11" t="inlineStr">
        <is>
          <t>Yes</t>
        </is>
      </c>
      <c r="J2" s="11" t="inlineStr">
        <is>
          <t>Win the AI citation (answer is likely summarised)</t>
        </is>
      </c>
      <c r="K2" s="15" t="n">
        <v>0.25</v>
      </c>
      <c r="L2" s="11">
        <f>MAX(0,ROUND(D2*K2-E2,0))</f>
        <v/>
      </c>
      <c r="M2" s="11">
        <f>IF(L2&gt;=20,"High",IF(L2&gt;=5,"Medium","Low"))</f>
        <v/>
      </c>
      <c r="N2" s="11" t="inlineStr"/>
    </row>
    <row r="3">
      <c r="A3" s="11" t="inlineStr">
        <is>
          <t>how long does epoxy garage floor last</t>
        </is>
      </c>
      <c r="B3" s="11" t="inlineStr">
        <is>
          <t>T2</t>
        </is>
      </c>
      <c r="C3" s="11" t="inlineStr">
        <is>
          <t>Informational</t>
        </is>
      </c>
      <c r="D3" s="12" t="n">
        <v>2400</v>
      </c>
      <c r="E3" s="11" t="n">
        <v>72</v>
      </c>
      <c r="F3" s="15">
        <f>IF(D3&gt;0,E3/D3,0)</f>
        <v/>
      </c>
      <c r="G3" s="11" t="n">
        <v>2.1</v>
      </c>
      <c r="H3" s="11" t="inlineStr">
        <is>
          <t>Top 3</t>
        </is>
      </c>
      <c r="I3" s="11" t="inlineStr">
        <is>
          <t>Yes</t>
        </is>
      </c>
      <c r="J3" s="11" t="inlineStr">
        <is>
          <t>Win the AI citation (answer is likely summarised)</t>
        </is>
      </c>
      <c r="K3" s="15" t="n">
        <v>0.25</v>
      </c>
      <c r="L3" s="11">
        <f>MAX(0,ROUND(D3*K3-E3,0))</f>
        <v/>
      </c>
      <c r="M3" s="11">
        <f>IF(L3&gt;=20,"High",IF(L3&gt;=5,"Medium","Low"))</f>
        <v/>
      </c>
      <c r="N3" s="11" t="inlineStr"/>
    </row>
    <row r="4">
      <c r="A4" s="11" t="inlineStr">
        <is>
          <t>what is flake epoxy flooring</t>
        </is>
      </c>
      <c r="B4" s="11" t="inlineStr">
        <is>
          <t>T10</t>
        </is>
      </c>
      <c r="C4" s="11" t="inlineStr">
        <is>
          <t>Informational</t>
        </is>
      </c>
      <c r="D4" s="12" t="n">
        <v>1250</v>
      </c>
      <c r="E4" s="11" t="n">
        <v>31</v>
      </c>
      <c r="F4" s="15">
        <f>IF(D4&gt;0,E4/D4,0)</f>
        <v/>
      </c>
      <c r="G4" s="11" t="n">
        <v>2.9</v>
      </c>
      <c r="H4" s="11" t="inlineStr">
        <is>
          <t>Top 3</t>
        </is>
      </c>
      <c r="I4" s="11" t="inlineStr">
        <is>
          <t>Yes</t>
        </is>
      </c>
      <c r="J4" s="11" t="inlineStr">
        <is>
          <t>Win the AI citation (answer is likely summarised)</t>
        </is>
      </c>
      <c r="K4" s="15" t="n">
        <v>0.25</v>
      </c>
      <c r="L4" s="11">
        <f>MAX(0,ROUND(D4*K4-E4,0))</f>
        <v/>
      </c>
      <c r="M4" s="11">
        <f>IF(L4&gt;=20,"High",IF(L4&gt;=5,"Medium","Low"))</f>
        <v/>
      </c>
      <c r="N4" s="11" t="inlineStr"/>
    </row>
    <row r="5">
      <c r="A5" s="11" t="inlineStr">
        <is>
          <t>how do you clean an epoxy garage floor</t>
        </is>
      </c>
      <c r="B5" s="11" t="inlineStr">
        <is>
          <t>T4</t>
        </is>
      </c>
      <c r="C5" s="11" t="inlineStr">
        <is>
          <t>Informational</t>
        </is>
      </c>
      <c r="D5" s="12" t="n">
        <v>1100</v>
      </c>
      <c r="E5" s="11" t="n">
        <v>33</v>
      </c>
      <c r="F5" s="15">
        <f>IF(D5&gt;0,E5/D5,0)</f>
        <v/>
      </c>
      <c r="G5" s="11" t="n">
        <v>2.6</v>
      </c>
      <c r="H5" s="11" t="inlineStr">
        <is>
          <t>Top 3</t>
        </is>
      </c>
      <c r="I5" s="11" t="inlineStr">
        <is>
          <t>Yes</t>
        </is>
      </c>
      <c r="J5" s="11" t="inlineStr">
        <is>
          <t>Win the AI citation (answer is likely summarised)</t>
        </is>
      </c>
      <c r="K5" s="15" t="n">
        <v>0.25</v>
      </c>
      <c r="L5" s="11">
        <f>MAX(0,ROUND(D5*K5-E5,0))</f>
        <v/>
      </c>
      <c r="M5" s="11">
        <f>IF(L5&gt;=20,"High",IF(L5&gt;=5,"Medium","Low"))</f>
        <v/>
      </c>
      <c r="N5" s="11" t="inlineStr"/>
    </row>
    <row r="6">
      <c r="A6" s="11" t="inlineStr">
        <is>
          <t>what is the best epoxy for garage floors</t>
        </is>
      </c>
      <c r="B6" s="11" t="inlineStr">
        <is>
          <t>T3</t>
        </is>
      </c>
      <c r="C6" s="11" t="inlineStr">
        <is>
          <t>Commercial</t>
        </is>
      </c>
      <c r="D6" s="12" t="n">
        <v>1300</v>
      </c>
      <c r="E6" s="11" t="n">
        <v>18</v>
      </c>
      <c r="F6" s="15">
        <f>IF(D6&gt;0,E6/D6,0)</f>
        <v/>
      </c>
      <c r="G6" s="11" t="n">
        <v>8.9</v>
      </c>
      <c r="H6" s="11" t="inlineStr">
        <is>
          <t>4-10</t>
        </is>
      </c>
      <c r="I6" s="11" t="inlineStr"/>
      <c r="J6" s="11" t="inlineStr">
        <is>
          <t>Answer upgrade</t>
        </is>
      </c>
      <c r="K6" s="15" t="n">
        <v>0.1</v>
      </c>
      <c r="L6" s="11">
        <f>MAX(0,ROUND(D6*K6-E6,0))</f>
        <v/>
      </c>
      <c r="M6" s="11">
        <f>IF(L6&gt;=20,"High",IF(L6&gt;=5,"Medium","Low"))</f>
        <v/>
      </c>
      <c r="N6" s="11" t="inlineStr"/>
    </row>
    <row r="7">
      <c r="A7" s="11" t="inlineStr">
        <is>
          <t>how much does it cost to epoxy a double garage</t>
        </is>
      </c>
      <c r="B7" s="11" t="inlineStr">
        <is>
          <t>T1</t>
        </is>
      </c>
      <c r="C7" s="11" t="inlineStr">
        <is>
          <t>Transactional</t>
        </is>
      </c>
      <c r="D7" s="12" t="n">
        <v>1450</v>
      </c>
      <c r="E7" s="11" t="n">
        <v>57</v>
      </c>
      <c r="F7" s="15">
        <f>IF(D7&gt;0,E7/D7,0)</f>
        <v/>
      </c>
      <c r="G7" s="11" t="n">
        <v>5.6</v>
      </c>
      <c r="H7" s="11" t="inlineStr">
        <is>
          <t>4-10</t>
        </is>
      </c>
      <c r="I7" s="11" t="inlineStr"/>
      <c r="J7" s="11" t="inlineStr">
        <is>
          <t>Answer upgrade</t>
        </is>
      </c>
      <c r="K7" s="15" t="n">
        <v>0.1</v>
      </c>
      <c r="L7" s="11">
        <f>MAX(0,ROUND(D7*K7-E7,0))</f>
        <v/>
      </c>
      <c r="M7" s="11">
        <f>IF(L7&gt;=20,"High",IF(L7&gt;=5,"Medium","Low"))</f>
        <v/>
      </c>
      <c r="N7" s="11" t="inlineStr"/>
    </row>
    <row r="8">
      <c r="A8" s="11" t="inlineStr">
        <is>
          <t>is epoxy flooring worth it for a garage</t>
        </is>
      </c>
      <c r="B8" s="11" t="inlineStr">
        <is>
          <t>T3</t>
        </is>
      </c>
      <c r="C8" s="11" t="inlineStr">
        <is>
          <t>Commercial</t>
        </is>
      </c>
      <c r="D8" s="12" t="n">
        <v>1900</v>
      </c>
      <c r="E8" s="11" t="n">
        <v>117</v>
      </c>
      <c r="F8" s="15">
        <f>IF(D8&gt;0,E8/D8,0)</f>
        <v/>
      </c>
      <c r="G8" s="11" t="n">
        <v>4.2</v>
      </c>
      <c r="H8" s="11" t="inlineStr">
        <is>
          <t>4-10</t>
        </is>
      </c>
      <c r="I8" s="11" t="inlineStr"/>
      <c r="J8" s="11" t="inlineStr">
        <is>
          <t>Answer upgrade</t>
        </is>
      </c>
      <c r="K8" s="15" t="n">
        <v>0.1</v>
      </c>
      <c r="L8" s="11">
        <f>MAX(0,ROUND(D8*K8-E8,0))</f>
        <v/>
      </c>
      <c r="M8" s="11">
        <f>IF(L8&gt;=20,"High",IF(L8&gt;=5,"Medium","Low"))</f>
        <v/>
      </c>
      <c r="N8" s="11" t="inlineStr"/>
    </row>
    <row r="9">
      <c r="A9" s="11" t="inlineStr">
        <is>
          <t>how long after epoxy can i drive on it</t>
        </is>
      </c>
      <c r="B9" s="11" t="inlineStr">
        <is>
          <t>T2</t>
        </is>
      </c>
      <c r="C9" s="11" t="inlineStr">
        <is>
          <t>Informational</t>
        </is>
      </c>
      <c r="D9" s="12" t="n">
        <v>860</v>
      </c>
      <c r="E9" s="11" t="n">
        <v>18</v>
      </c>
      <c r="F9" s="15">
        <f>IF(D9&gt;0,E9/D9,0)</f>
        <v/>
      </c>
      <c r="G9" s="11" t="n">
        <v>3.1</v>
      </c>
      <c r="H9" s="11" t="inlineStr">
        <is>
          <t>4-10</t>
        </is>
      </c>
      <c r="I9" s="11" t="inlineStr">
        <is>
          <t>Yes</t>
        </is>
      </c>
      <c r="J9" s="11" t="inlineStr">
        <is>
          <t>Win the AI citation (answer is likely summarised)</t>
        </is>
      </c>
      <c r="K9" s="15" t="n">
        <v>0.1</v>
      </c>
      <c r="L9" s="11">
        <f>MAX(0,ROUND(D9*K9-E9,0))</f>
        <v/>
      </c>
      <c r="M9" s="11">
        <f>IF(L9&gt;=20,"High",IF(L9&gt;=5,"Medium","Low"))</f>
        <v/>
      </c>
      <c r="N9" s="11" t="inlineStr"/>
    </row>
    <row r="10">
      <c r="A10" s="11" t="inlineStr">
        <is>
          <t>is epoxy flooring slippery when wet</t>
        </is>
      </c>
      <c r="B10" s="11" t="inlineStr">
        <is>
          <t>T6</t>
        </is>
      </c>
      <c r="C10" s="11" t="inlineStr">
        <is>
          <t>Informational</t>
        </is>
      </c>
      <c r="D10" s="12" t="n">
        <v>980</v>
      </c>
      <c r="E10" s="11" t="n">
        <v>38</v>
      </c>
      <c r="F10" s="15">
        <f>IF(D10&gt;0,E10/D10,0)</f>
        <v/>
      </c>
      <c r="G10" s="11" t="n">
        <v>5.3</v>
      </c>
      <c r="H10" s="11" t="inlineStr">
        <is>
          <t>4-10</t>
        </is>
      </c>
      <c r="I10" s="11" t="inlineStr"/>
      <c r="J10" s="11" t="inlineStr">
        <is>
          <t>Answer upgrade</t>
        </is>
      </c>
      <c r="K10" s="15" t="n">
        <v>0.1</v>
      </c>
      <c r="L10" s="11">
        <f>MAX(0,ROUND(D10*K10-E10,0))</f>
        <v/>
      </c>
      <c r="M10" s="11">
        <f>IF(L10&gt;=20,"High",IF(L10&gt;=5,"Medium","Low"))</f>
        <v/>
      </c>
      <c r="N10" s="11" t="inlineStr"/>
    </row>
    <row r="11">
      <c r="A11" s="11" t="inlineStr">
        <is>
          <t>how long does an epoxy floor last in a garage in queensland</t>
        </is>
      </c>
      <c r="B11" s="11" t="inlineStr">
        <is>
          <t>T2</t>
        </is>
      </c>
      <c r="C11" s="11" t="inlineStr">
        <is>
          <t>Local</t>
        </is>
      </c>
      <c r="D11" s="12" t="n">
        <v>610</v>
      </c>
      <c r="E11" s="11" t="n">
        <v>10</v>
      </c>
      <c r="F11" s="15">
        <f>IF(D11&gt;0,E11/D11,0)</f>
        <v/>
      </c>
      <c r="G11" s="11" t="n">
        <v>3.4</v>
      </c>
      <c r="H11" s="11" t="inlineStr">
        <is>
          <t>4-10</t>
        </is>
      </c>
      <c r="I11" s="11" t="inlineStr">
        <is>
          <t>Yes</t>
        </is>
      </c>
      <c r="J11" s="11" t="inlineStr">
        <is>
          <t>Win the AI citation (answer is likely summarised)</t>
        </is>
      </c>
      <c r="K11" s="15" t="n">
        <v>0.1</v>
      </c>
      <c r="L11" s="11">
        <f>MAX(0,ROUND(D11*K11-E11,0))</f>
        <v/>
      </c>
      <c r="M11" s="11">
        <f>IF(L11&gt;=20,"High",IF(L11&gt;=5,"Medium","Low"))</f>
        <v/>
      </c>
      <c r="N11" s="11" t="inlineStr"/>
    </row>
    <row r="12">
      <c r="A12" s="11" t="inlineStr">
        <is>
          <t>is polished concrete better than epoxy for a home</t>
        </is>
      </c>
      <c r="B12" s="11" t="inlineStr">
        <is>
          <t>T8</t>
        </is>
      </c>
      <c r="C12" s="11" t="inlineStr">
        <is>
          <t>Commercial</t>
        </is>
      </c>
      <c r="D12" s="12" t="n">
        <v>530</v>
      </c>
      <c r="E12" s="11" t="n">
        <v>12</v>
      </c>
      <c r="F12" s="15">
        <f>IF(D12&gt;0,E12/D12,0)</f>
        <v/>
      </c>
      <c r="G12" s="11" t="n">
        <v>8.4</v>
      </c>
      <c r="H12" s="11" t="inlineStr">
        <is>
          <t>4-10</t>
        </is>
      </c>
      <c r="I12" s="11" t="inlineStr"/>
      <c r="J12" s="11" t="inlineStr">
        <is>
          <t>Answer upgrade</t>
        </is>
      </c>
      <c r="K12" s="15" t="n">
        <v>0.1</v>
      </c>
      <c r="L12" s="11">
        <f>MAX(0,ROUND(D12*K12-E12,0))</f>
        <v/>
      </c>
      <c r="M12" s="11">
        <f>IF(L12&gt;=20,"High",IF(L12&gt;=5,"Medium","Low"))</f>
        <v/>
      </c>
      <c r="N12" s="11" t="inlineStr"/>
    </row>
    <row r="13">
      <c r="A13" s="11" t="inlineStr">
        <is>
          <t>can you put epoxy over cracked concrete</t>
        </is>
      </c>
      <c r="B13" s="11" t="inlineStr">
        <is>
          <t>T5</t>
        </is>
      </c>
      <c r="C13" s="11" t="inlineStr">
        <is>
          <t>Informational</t>
        </is>
      </c>
      <c r="D13" s="12" t="n">
        <v>880</v>
      </c>
      <c r="E13" s="11" t="n">
        <v>9</v>
      </c>
      <c r="F13" s="15">
        <f>IF(D13&gt;0,E13/D13,0)</f>
        <v/>
      </c>
      <c r="G13" s="11" t="n">
        <v>11.6</v>
      </c>
      <c r="H13" s="11" t="inlineStr">
        <is>
          <t>11-20</t>
        </is>
      </c>
      <c r="I13" s="11" t="inlineStr"/>
      <c r="J13" s="11" t="inlineStr">
        <is>
          <t>Striking distance: expand + internal links</t>
        </is>
      </c>
      <c r="K13" s="15" t="n">
        <v>0.055</v>
      </c>
      <c r="L13" s="11">
        <f>MAX(0,ROUND(D13*K13-E13,0))</f>
        <v/>
      </c>
      <c r="M13" s="11">
        <f>IF(L13&gt;=20,"High",IF(L13&gt;=5,"Medium","Low"))</f>
        <v/>
      </c>
      <c r="N13" s="11" t="inlineStr"/>
    </row>
    <row r="14">
      <c r="A14" s="11" t="inlineStr">
        <is>
          <t>how to clean epoxy floors without making them slippery</t>
        </is>
      </c>
      <c r="B14" s="11" t="inlineStr">
        <is>
          <t>T4</t>
        </is>
      </c>
      <c r="C14" s="11" t="inlineStr">
        <is>
          <t>Informational</t>
        </is>
      </c>
      <c r="D14" s="12" t="n">
        <v>720</v>
      </c>
      <c r="E14" s="11" t="n">
        <v>33</v>
      </c>
      <c r="F14" s="15">
        <f>IF(D14&gt;0,E14/D14,0)</f>
        <v/>
      </c>
      <c r="G14" s="11" t="n">
        <v>6.1</v>
      </c>
      <c r="H14" s="11" t="inlineStr">
        <is>
          <t>4-10</t>
        </is>
      </c>
      <c r="I14" s="11" t="inlineStr"/>
      <c r="J14" s="11" t="inlineStr">
        <is>
          <t>Answer upgrade</t>
        </is>
      </c>
      <c r="K14" s="15" t="n">
        <v>0.1</v>
      </c>
      <c r="L14" s="11">
        <f>MAX(0,ROUND(D14*K14-E14,0))</f>
        <v/>
      </c>
      <c r="M14" s="11">
        <f>IF(L14&gt;=20,"High",IF(L14&gt;=5,"Medium","Low"))</f>
        <v/>
      </c>
      <c r="N14" s="11" t="inlineStr"/>
    </row>
    <row r="15">
      <c r="A15" s="11" t="inlineStr">
        <is>
          <t>what is the difference between epoxy and polyaspartic coatings</t>
        </is>
      </c>
      <c r="B15" s="11" t="inlineStr">
        <is>
          <t>T3</t>
        </is>
      </c>
      <c r="C15" s="11" t="inlineStr">
        <is>
          <t>Informational</t>
        </is>
      </c>
      <c r="D15" s="12" t="n">
        <v>640</v>
      </c>
      <c r="E15" s="11" t="n">
        <v>3</v>
      </c>
      <c r="F15" s="15">
        <f>IF(D15&gt;0,E15/D15,0)</f>
        <v/>
      </c>
      <c r="G15" s="11" t="n">
        <v>16.3</v>
      </c>
      <c r="H15" s="11" t="inlineStr">
        <is>
          <t>11-20</t>
        </is>
      </c>
      <c r="I15" s="11" t="inlineStr"/>
      <c r="J15" s="11" t="inlineStr">
        <is>
          <t>Striking distance: expand + internal links</t>
        </is>
      </c>
      <c r="K15" s="15" t="n">
        <v>0.055</v>
      </c>
      <c r="L15" s="11">
        <f>MAX(0,ROUND(D15*K15-E15,0))</f>
        <v/>
      </c>
      <c r="M15" s="11">
        <f>IF(L15&gt;=20,"High",IF(L15&gt;=5,"Medium","Low"))</f>
        <v/>
      </c>
      <c r="N15" s="11" t="inlineStr"/>
    </row>
    <row r="16">
      <c r="A16" s="11" t="inlineStr">
        <is>
          <t>why does diy epoxy peel off garage floors</t>
        </is>
      </c>
      <c r="B16" s="11" t="inlineStr">
        <is>
          <t>T5</t>
        </is>
      </c>
      <c r="C16" s="11" t="inlineStr">
        <is>
          <t>Informational</t>
        </is>
      </c>
      <c r="D16" s="12" t="n">
        <v>390</v>
      </c>
      <c r="E16" s="11" t="n">
        <v>8</v>
      </c>
      <c r="F16" s="15">
        <f>IF(D16&gt;0,E16/D16,0)</f>
        <v/>
      </c>
      <c r="G16" s="11" t="n">
        <v>9.4</v>
      </c>
      <c r="H16" s="11" t="inlineStr">
        <is>
          <t>4-10</t>
        </is>
      </c>
      <c r="I16" s="11" t="inlineStr"/>
      <c r="J16" s="11" t="inlineStr">
        <is>
          <t>Answer upgrade</t>
        </is>
      </c>
      <c r="K16" s="15" t="n">
        <v>0.1</v>
      </c>
      <c r="L16" s="11">
        <f>MAX(0,ROUND(D16*K16-E16,0))</f>
        <v/>
      </c>
      <c r="M16" s="11">
        <f>IF(L16&gt;=20,"High",IF(L16&gt;=5,"Medium","Low"))</f>
        <v/>
      </c>
      <c r="N16" s="11" t="inlineStr"/>
    </row>
    <row r="17">
      <c r="A17" s="11" t="inlineStr">
        <is>
          <t>is epoxy garage flooring worth the money or should i just paint it</t>
        </is>
      </c>
      <c r="B17" s="11" t="inlineStr">
        <is>
          <t>T3</t>
        </is>
      </c>
      <c r="C17" s="11" t="inlineStr">
        <is>
          <t>Commercial</t>
        </is>
      </c>
      <c r="D17" s="12" t="n">
        <v>420</v>
      </c>
      <c r="E17" s="11" t="n">
        <v>12</v>
      </c>
      <c r="F17" s="15">
        <f>IF(D17&gt;0,E17/D17,0)</f>
        <v/>
      </c>
      <c r="G17" s="11" t="n">
        <v>6.8</v>
      </c>
      <c r="H17" s="11" t="inlineStr">
        <is>
          <t>4-10</t>
        </is>
      </c>
      <c r="I17" s="11" t="inlineStr"/>
      <c r="J17" s="11" t="inlineStr">
        <is>
          <t>Answer upgrade</t>
        </is>
      </c>
      <c r="K17" s="15" t="n">
        <v>0.1</v>
      </c>
      <c r="L17" s="11">
        <f>MAX(0,ROUND(D17*K17-E17,0))</f>
        <v/>
      </c>
      <c r="M17" s="11">
        <f>IF(L17&gt;=20,"High",IF(L17&gt;=5,"Medium","Low"))</f>
        <v/>
      </c>
      <c r="N17" s="11" t="inlineStr"/>
    </row>
    <row r="18">
      <c r="A18" s="11" t="inlineStr">
        <is>
          <t>how much should i pay for epoxy flooring on the gold coast</t>
        </is>
      </c>
      <c r="B18" s="11" t="inlineStr">
        <is>
          <t>T1</t>
        </is>
      </c>
      <c r="C18" s="11" t="inlineStr">
        <is>
          <t>Local</t>
        </is>
      </c>
      <c r="D18" s="12" t="n">
        <v>380</v>
      </c>
      <c r="E18" s="11" t="n">
        <v>8</v>
      </c>
      <c r="F18" s="15">
        <f>IF(D18&gt;0,E18/D18,0)</f>
        <v/>
      </c>
      <c r="G18" s="11" t="n">
        <v>7.2</v>
      </c>
      <c r="H18" s="11" t="inlineStr">
        <is>
          <t>4-10</t>
        </is>
      </c>
      <c r="I18" s="11" t="inlineStr"/>
      <c r="J18" s="11" t="inlineStr">
        <is>
          <t>Answer upgrade</t>
        </is>
      </c>
      <c r="K18" s="15" t="n">
        <v>0.1</v>
      </c>
      <c r="L18" s="11">
        <f>MAX(0,ROUND(D18*K18-E18,0))</f>
        <v/>
      </c>
      <c r="M18" s="11">
        <f>IF(L18&gt;=20,"High",IF(L18&gt;=5,"Medium","Low"))</f>
        <v/>
      </c>
      <c r="N18" s="11" t="inlineStr"/>
    </row>
    <row r="19">
      <c r="A19" s="11" t="inlineStr">
        <is>
          <t>how long does epoxy take to cure before parking a car</t>
        </is>
      </c>
      <c r="B19" s="11" t="inlineStr">
        <is>
          <t>T2</t>
        </is>
      </c>
      <c r="C19" s="11" t="inlineStr">
        <is>
          <t>Informational</t>
        </is>
      </c>
      <c r="D19" s="12" t="n">
        <v>330</v>
      </c>
      <c r="E19" s="11" t="n">
        <v>5</v>
      </c>
      <c r="F19" s="15">
        <f>IF(D19&gt;0,E19/D19,0)</f>
        <v/>
      </c>
      <c r="G19" s="11" t="n">
        <v>4.4</v>
      </c>
      <c r="H19" s="11" t="inlineStr">
        <is>
          <t>4-10</t>
        </is>
      </c>
      <c r="I19" s="11" t="inlineStr">
        <is>
          <t>Yes</t>
        </is>
      </c>
      <c r="J19" s="11" t="inlineStr">
        <is>
          <t>Win the AI citation (answer is likely summarised)</t>
        </is>
      </c>
      <c r="K19" s="15" t="n">
        <v>0.1</v>
      </c>
      <c r="L19" s="11">
        <f>MAX(0,ROUND(D19*K19-E19,0))</f>
        <v/>
      </c>
      <c r="M19" s="11">
        <f>IF(L19&gt;=20,"High",IF(L19&gt;=5,"Medium","Low"))</f>
        <v/>
      </c>
      <c r="N19" s="11" t="inlineStr"/>
    </row>
    <row r="20">
      <c r="A20" s="11" t="inlineStr">
        <is>
          <t>which is better flake or metallic epoxy for a garage</t>
        </is>
      </c>
      <c r="B20" s="11" t="inlineStr">
        <is>
          <t>T3</t>
        </is>
      </c>
      <c r="C20" s="11" t="inlineStr">
        <is>
          <t>Commercial</t>
        </is>
      </c>
      <c r="D20" s="12" t="n">
        <v>360</v>
      </c>
      <c r="E20" s="11" t="n">
        <v>9</v>
      </c>
      <c r="F20" s="15">
        <f>IF(D20&gt;0,E20/D20,0)</f>
        <v/>
      </c>
      <c r="G20" s="11" t="n">
        <v>9.1</v>
      </c>
      <c r="H20" s="11" t="inlineStr">
        <is>
          <t>4-10</t>
        </is>
      </c>
      <c r="I20" s="11" t="inlineStr"/>
      <c r="J20" s="11" t="inlineStr">
        <is>
          <t>Answer upgrade</t>
        </is>
      </c>
      <c r="K20" s="15" t="n">
        <v>0.1</v>
      </c>
      <c r="L20" s="11">
        <f>MAX(0,ROUND(D20*K20-E20,0))</f>
        <v/>
      </c>
      <c r="M20" s="11">
        <f>IF(L20&gt;=20,"High",IF(L20&gt;=5,"Medium","Low"))</f>
        <v/>
      </c>
      <c r="N20" s="11" t="inlineStr"/>
    </row>
    <row r="21">
      <c r="A21" s="11" t="inlineStr">
        <is>
          <t>why is epoxy flooring so expensive</t>
        </is>
      </c>
      <c r="B21" s="11" t="inlineStr">
        <is>
          <t>T1</t>
        </is>
      </c>
      <c r="C21" s="11" t="inlineStr">
        <is>
          <t>Informational</t>
        </is>
      </c>
      <c r="D21" s="12" t="n">
        <v>520</v>
      </c>
      <c r="E21" s="11" t="n">
        <v>5</v>
      </c>
      <c r="F21" s="15">
        <f>IF(D21&gt;0,E21/D21,0)</f>
        <v/>
      </c>
      <c r="G21" s="11" t="n">
        <v>12.4</v>
      </c>
      <c r="H21" s="11" t="inlineStr">
        <is>
          <t>11-20</t>
        </is>
      </c>
      <c r="I21" s="11" t="inlineStr"/>
      <c r="J21" s="11" t="inlineStr">
        <is>
          <t>Striking distance: expand + internal links</t>
        </is>
      </c>
      <c r="K21" s="15" t="n">
        <v>0.055</v>
      </c>
      <c r="L21" s="11">
        <f>MAX(0,ROUND(D21*K21-E21,0))</f>
        <v/>
      </c>
      <c r="M21" s="11">
        <f>IF(L21&gt;=20,"High",IF(L21&gt;=5,"Medium","Low"))</f>
        <v/>
      </c>
      <c r="N21" s="11" t="inlineStr"/>
    </row>
    <row r="22">
      <c r="A22" s="11" t="inlineStr">
        <is>
          <t>how thick should an epoxy garage floor be</t>
        </is>
      </c>
      <c r="B22" s="11" t="inlineStr">
        <is>
          <t>T7</t>
        </is>
      </c>
      <c r="C22" s="11" t="inlineStr">
        <is>
          <t>Informational</t>
        </is>
      </c>
      <c r="D22" s="12" t="n">
        <v>270</v>
      </c>
      <c r="E22" s="11" t="n">
        <v>5</v>
      </c>
      <c r="F22" s="15">
        <f>IF(D22&gt;0,E22/D22,0)</f>
        <v/>
      </c>
      <c r="G22" s="11" t="n">
        <v>9.6</v>
      </c>
      <c r="H22" s="11" t="inlineStr">
        <is>
          <t>4-10</t>
        </is>
      </c>
      <c r="I22" s="11" t="inlineStr"/>
      <c r="J22" s="11" t="inlineStr">
        <is>
          <t>Answer upgrade</t>
        </is>
      </c>
      <c r="K22" s="15" t="n">
        <v>0.1</v>
      </c>
      <c r="L22" s="11">
        <f>MAX(0,ROUND(D22*K22-E22,0))</f>
        <v/>
      </c>
      <c r="M22" s="11">
        <f>IF(L22&gt;=20,"High",IF(L22&gt;=5,"Medium","Low"))</f>
        <v/>
      </c>
      <c r="N22" s="11" t="inlineStr"/>
    </row>
    <row r="23">
      <c r="A23" s="11" t="inlineStr">
        <is>
          <t>is epoxy flooring good for a commercial kitchen</t>
        </is>
      </c>
      <c r="B23" s="11" t="inlineStr">
        <is>
          <t>T9</t>
        </is>
      </c>
      <c r="C23" s="11" t="inlineStr">
        <is>
          <t>Informational</t>
        </is>
      </c>
      <c r="D23" s="12" t="n">
        <v>470</v>
      </c>
      <c r="E23" s="11" t="n">
        <v>5</v>
      </c>
      <c r="F23" s="15">
        <f>IF(D23&gt;0,E23/D23,0)</f>
        <v/>
      </c>
      <c r="G23" s="11" t="n">
        <v>13.7</v>
      </c>
      <c r="H23" s="11" t="inlineStr">
        <is>
          <t>11-20</t>
        </is>
      </c>
      <c r="I23" s="11" t="inlineStr"/>
      <c r="J23" s="11" t="inlineStr">
        <is>
          <t>Striking distance: expand + internal links</t>
        </is>
      </c>
      <c r="K23" s="15" t="n">
        <v>0.055</v>
      </c>
      <c r="L23" s="11">
        <f>MAX(0,ROUND(D23*K23-E23,0))</f>
        <v/>
      </c>
      <c r="M23" s="11">
        <f>IF(L23&gt;=20,"High",IF(L23&gt;=5,"Medium","Low"))</f>
        <v/>
      </c>
      <c r="N23" s="11" t="inlineStr"/>
    </row>
    <row r="24">
      <c r="A24" s="11" t="inlineStr">
        <is>
          <t>how to remove tyre marks from epoxy garage floor</t>
        </is>
      </c>
      <c r="B24" s="11" t="inlineStr">
        <is>
          <t>T4</t>
        </is>
      </c>
      <c r="C24" s="11" t="inlineStr">
        <is>
          <t>Informational</t>
        </is>
      </c>
      <c r="D24" s="12" t="n">
        <v>290</v>
      </c>
      <c r="E24" s="11" t="n">
        <v>9</v>
      </c>
      <c r="F24" s="15">
        <f>IF(D24&gt;0,E24/D24,0)</f>
        <v/>
      </c>
      <c r="G24" s="11" t="n">
        <v>7.7</v>
      </c>
      <c r="H24" s="11" t="inlineStr">
        <is>
          <t>4-10</t>
        </is>
      </c>
      <c r="I24" s="11" t="inlineStr"/>
      <c r="J24" s="11" t="inlineStr">
        <is>
          <t>Answer upgrade</t>
        </is>
      </c>
      <c r="K24" s="15" t="n">
        <v>0.1</v>
      </c>
      <c r="L24" s="11">
        <f>MAX(0,ROUND(D24*K24-E24,0))</f>
        <v/>
      </c>
      <c r="M24" s="11">
        <f>IF(L24&gt;=20,"High",IF(L24&gt;=5,"Medium","Low"))</f>
        <v/>
      </c>
      <c r="N24" s="11" t="inlineStr"/>
    </row>
    <row r="25">
      <c r="A25" s="11" t="inlineStr">
        <is>
          <t>can i do epoxy flooring myself or should i hire a professional</t>
        </is>
      </c>
      <c r="B25" s="11" t="inlineStr">
        <is>
          <t>T10</t>
        </is>
      </c>
      <c r="C25" s="11" t="inlineStr">
        <is>
          <t>Transactional</t>
        </is>
      </c>
      <c r="D25" s="12" t="n">
        <v>480</v>
      </c>
      <c r="E25" s="11" t="n">
        <v>7</v>
      </c>
      <c r="F25" s="15">
        <f>IF(D25&gt;0,E25/D25,0)</f>
        <v/>
      </c>
      <c r="G25" s="11" t="n">
        <v>10.9</v>
      </c>
      <c r="H25" s="11" t="inlineStr">
        <is>
          <t>11-20</t>
        </is>
      </c>
      <c r="I25" s="11" t="inlineStr"/>
      <c r="J25" s="11" t="inlineStr">
        <is>
          <t>Striking distance: expand + internal links</t>
        </is>
      </c>
      <c r="K25" s="15" t="n">
        <v>0.055</v>
      </c>
      <c r="L25" s="11">
        <f>MAX(0,ROUND(D25*K25-E25,0))</f>
        <v/>
      </c>
      <c r="M25" s="11">
        <f>IF(L25&gt;=20,"High",IF(L25&gt;=5,"Medium","Low"))</f>
        <v/>
      </c>
      <c r="N25" s="11" t="inlineStr"/>
    </row>
    <row r="26">
      <c r="A26" s="11" t="inlineStr">
        <is>
          <t>what is the cheapest way to resurface a garage floor</t>
        </is>
      </c>
      <c r="B26" s="11" t="inlineStr">
        <is>
          <t>T1</t>
        </is>
      </c>
      <c r="C26" s="11" t="inlineStr">
        <is>
          <t>Informational</t>
        </is>
      </c>
      <c r="D26" s="12" t="n">
        <v>830</v>
      </c>
      <c r="E26" s="11" t="n">
        <v>5</v>
      </c>
      <c r="F26" s="15">
        <f>IF(D26&gt;0,E26/D26,0)</f>
        <v/>
      </c>
      <c r="G26" s="11" t="n">
        <v>21.9</v>
      </c>
      <c r="H26" s="11" t="inlineStr">
        <is>
          <t>21+</t>
        </is>
      </c>
      <c r="I26" s="11" t="inlineStr"/>
      <c r="J26" s="11" t="inlineStr">
        <is>
          <t>Content gap: new section or page</t>
        </is>
      </c>
      <c r="K26" s="15" t="n">
        <v>0.026</v>
      </c>
      <c r="L26" s="11">
        <f>MAX(0,ROUND(D26*K26-E26,0))</f>
        <v/>
      </c>
      <c r="M26" s="11">
        <f>IF(L26&gt;=20,"High",IF(L26&gt;=5,"Medium","Low"))</f>
        <v/>
      </c>
      <c r="N26" s="11" t="inlineStr"/>
    </row>
    <row r="27">
      <c r="A27" s="11" t="inlineStr">
        <is>
          <t>can i use vinegar to clean my epoxy floor</t>
        </is>
      </c>
      <c r="B27" s="11" t="inlineStr">
        <is>
          <t>T4</t>
        </is>
      </c>
      <c r="C27" s="11" t="inlineStr">
        <is>
          <t>Informational</t>
        </is>
      </c>
      <c r="D27" s="12" t="n">
        <v>310</v>
      </c>
      <c r="E27" s="11" t="n">
        <v>15</v>
      </c>
      <c r="F27" s="15">
        <f>IF(D27&gt;0,E27/D27,0)</f>
        <v/>
      </c>
      <c r="G27" s="11" t="n">
        <v>3.8</v>
      </c>
      <c r="H27" s="11" t="inlineStr">
        <is>
          <t>4-10</t>
        </is>
      </c>
      <c r="I27" s="11" t="inlineStr"/>
      <c r="J27" s="11" t="inlineStr">
        <is>
          <t>Answer upgrade</t>
        </is>
      </c>
      <c r="K27" s="15" t="n">
        <v>0.1</v>
      </c>
      <c r="L27" s="11">
        <f>MAX(0,ROUND(D27*K27-E27,0))</f>
        <v/>
      </c>
      <c r="M27" s="11">
        <f>IF(L27&gt;=20,"High",IF(L27&gt;=5,"Medium","Low"))</f>
        <v/>
      </c>
      <c r="N27" s="11" t="inlineStr"/>
    </row>
    <row r="28">
      <c r="A28" s="11" t="inlineStr">
        <is>
          <t>what should you not use on epoxy floors</t>
        </is>
      </c>
      <c r="B28" s="11" t="inlineStr">
        <is>
          <t>T10</t>
        </is>
      </c>
      <c r="C28" s="11" t="inlineStr">
        <is>
          <t>Informational</t>
        </is>
      </c>
      <c r="D28" s="12" t="n">
        <v>450</v>
      </c>
      <c r="E28" s="11" t="n">
        <v>30</v>
      </c>
      <c r="F28" s="15">
        <f>IF(D28&gt;0,E28/D28,0)</f>
        <v/>
      </c>
      <c r="G28" s="11" t="n">
        <v>4.9</v>
      </c>
      <c r="H28" s="11" t="inlineStr">
        <is>
          <t>4-10</t>
        </is>
      </c>
      <c r="I28" s="11" t="inlineStr"/>
      <c r="J28" s="11" t="inlineStr">
        <is>
          <t>Answer upgrade</t>
        </is>
      </c>
      <c r="K28" s="15" t="n">
        <v>0.1</v>
      </c>
      <c r="L28" s="11">
        <f>MAX(0,ROUND(D28*K28-E28,0))</f>
        <v/>
      </c>
      <c r="M28" s="11">
        <f>IF(L28&gt;=20,"High",IF(L28&gt;=5,"Medium","Low"))</f>
        <v/>
      </c>
      <c r="N28" s="11" t="inlineStr"/>
    </row>
    <row r="29">
      <c r="A29" s="11" t="inlineStr">
        <is>
          <t>what flooring is best for a warehouse with forklifts</t>
        </is>
      </c>
      <c r="B29" s="11" t="inlineStr">
        <is>
          <t>T3</t>
        </is>
      </c>
      <c r="C29" s="11" t="inlineStr">
        <is>
          <t>Commercial</t>
        </is>
      </c>
      <c r="D29" s="12" t="n">
        <v>690</v>
      </c>
      <c r="E29" s="11" t="n">
        <v>3</v>
      </c>
      <c r="F29" s="15">
        <f>IF(D29&gt;0,E29/D29,0)</f>
        <v/>
      </c>
      <c r="G29" s="11" t="n">
        <v>24.5</v>
      </c>
      <c r="H29" s="11" t="inlineStr">
        <is>
          <t>21+</t>
        </is>
      </c>
      <c r="I29" s="11" t="inlineStr"/>
      <c r="J29" s="11" t="inlineStr">
        <is>
          <t>Content gap: new section or page</t>
        </is>
      </c>
      <c r="K29" s="15" t="n">
        <v>0.026</v>
      </c>
      <c r="L29" s="11">
        <f>MAX(0,ROUND(D29*K29-E29,0))</f>
        <v/>
      </c>
      <c r="M29" s="11">
        <f>IF(L29&gt;=20,"High",IF(L29&gt;=5,"Medium","Low"))</f>
        <v/>
      </c>
      <c r="N29" s="11" t="inlineStr"/>
    </row>
    <row r="30">
      <c r="A30" s="11" t="inlineStr">
        <is>
          <t>should i fix cracks in concrete before epoxy</t>
        </is>
      </c>
      <c r="B30" s="11" t="inlineStr">
        <is>
          <t>T5</t>
        </is>
      </c>
      <c r="C30" s="11" t="inlineStr">
        <is>
          <t>Informational</t>
        </is>
      </c>
      <c r="D30" s="12" t="n">
        <v>340</v>
      </c>
      <c r="E30" s="11" t="n">
        <v>4</v>
      </c>
      <c r="F30" s="15">
        <f>IF(D30&gt;0,E30/D30,0)</f>
        <v/>
      </c>
      <c r="G30" s="11" t="n">
        <v>13</v>
      </c>
      <c r="H30" s="11" t="inlineStr">
        <is>
          <t>11-20</t>
        </is>
      </c>
      <c r="I30" s="11" t="inlineStr"/>
      <c r="J30" s="11" t="inlineStr">
        <is>
          <t>Striking distance: expand + internal links</t>
        </is>
      </c>
      <c r="K30" s="15" t="n">
        <v>0.055</v>
      </c>
      <c r="L30" s="11">
        <f>MAX(0,ROUND(D30*K30-E30,0))</f>
        <v/>
      </c>
      <c r="M30" s="11">
        <f>IF(L30&gt;=20,"High",IF(L30&gt;=5,"Medium","Low"))</f>
        <v/>
      </c>
      <c r="N30" s="11" t="inlineStr"/>
    </row>
    <row r="31">
      <c r="A31" s="11" t="inlineStr">
        <is>
          <t>can epoxy be applied over tiles</t>
        </is>
      </c>
      <c r="B31" s="11" t="inlineStr">
        <is>
          <t>T7</t>
        </is>
      </c>
      <c r="C31" s="11" t="inlineStr">
        <is>
          <t>Informational</t>
        </is>
      </c>
      <c r="D31" s="12" t="n">
        <v>600</v>
      </c>
      <c r="E31" s="11" t="n">
        <v>2</v>
      </c>
      <c r="F31" s="15">
        <f>IF(D31&gt;0,E31/D31,0)</f>
        <v/>
      </c>
      <c r="G31" s="11" t="n">
        <v>28.4</v>
      </c>
      <c r="H31" s="11" t="inlineStr">
        <is>
          <t>21+</t>
        </is>
      </c>
      <c r="I31" s="11" t="inlineStr"/>
      <c r="J31" s="11" t="inlineStr">
        <is>
          <t>Content gap: new section or page</t>
        </is>
      </c>
      <c r="K31" s="15" t="n">
        <v>0.026</v>
      </c>
      <c r="L31" s="11">
        <f>MAX(0,ROUND(D31*K31-E31,0))</f>
        <v/>
      </c>
      <c r="M31" s="11">
        <f>IF(L31&gt;=20,"High",IF(L31&gt;=5,"Medium","Low"))</f>
        <v/>
      </c>
      <c r="N31" s="11" t="inlineStr"/>
    </row>
    <row r="32">
      <c r="A32" s="11" t="inlineStr">
        <is>
          <t>what affects the price of epoxy flooring</t>
        </is>
      </c>
      <c r="B32" s="11" t="inlineStr">
        <is>
          <t>T1</t>
        </is>
      </c>
      <c r="C32" s="11" t="inlineStr">
        <is>
          <t>Transactional</t>
        </is>
      </c>
      <c r="D32" s="12" t="n">
        <v>260</v>
      </c>
      <c r="E32" s="11" t="n">
        <v>2</v>
      </c>
      <c r="F32" s="15">
        <f>IF(D32&gt;0,E32/D32,0)</f>
        <v/>
      </c>
      <c r="G32" s="11" t="n">
        <v>14.1</v>
      </c>
      <c r="H32" s="11" t="inlineStr">
        <is>
          <t>11-20</t>
        </is>
      </c>
      <c r="I32" s="11" t="inlineStr"/>
      <c r="J32" s="11" t="inlineStr">
        <is>
          <t>Striking distance: expand + internal links</t>
        </is>
      </c>
      <c r="K32" s="15" t="n">
        <v>0.055</v>
      </c>
      <c r="L32" s="11">
        <f>MAX(0,ROUND(D32*K32-E32,0))</f>
        <v/>
      </c>
      <c r="M32" s="11">
        <f>IF(L32&gt;=20,"High",IF(L32&gt;=5,"Medium","Low"))</f>
        <v/>
      </c>
      <c r="N32" s="11" t="inlineStr"/>
    </row>
    <row r="33">
      <c r="A33" s="11" t="inlineStr">
        <is>
          <t>how do i make my epoxy floor less slippery</t>
        </is>
      </c>
      <c r="B33" s="11" t="inlineStr">
        <is>
          <t>T6</t>
        </is>
      </c>
      <c r="C33" s="11" t="inlineStr">
        <is>
          <t>Informational</t>
        </is>
      </c>
      <c r="D33" s="12" t="n">
        <v>230</v>
      </c>
      <c r="E33" s="11" t="n">
        <v>1</v>
      </c>
      <c r="F33" s="15">
        <f>IF(D33&gt;0,E33/D33,0)</f>
        <v/>
      </c>
      <c r="G33" s="11" t="n">
        <v>18.5</v>
      </c>
      <c r="H33" s="11" t="inlineStr">
        <is>
          <t>11-20</t>
        </is>
      </c>
      <c r="I33" s="11" t="inlineStr"/>
      <c r="J33" s="11" t="inlineStr">
        <is>
          <t>Striking distance: expand + internal links</t>
        </is>
      </c>
      <c r="K33" s="15" t="n">
        <v>0.055</v>
      </c>
      <c r="L33" s="11">
        <f>MAX(0,ROUND(D33*K33-E33,0))</f>
        <v/>
      </c>
      <c r="M33" s="11">
        <f>IF(L33&gt;=20,"High",IF(L33&gt;=5,"Medium","Low"))</f>
        <v/>
      </c>
      <c r="N33" s="11" t="inlineStr"/>
    </row>
    <row r="34">
      <c r="A34" s="11" t="inlineStr">
        <is>
          <t>is epoxy flooring toxic once cured</t>
        </is>
      </c>
      <c r="B34" s="11" t="inlineStr">
        <is>
          <t>T6</t>
        </is>
      </c>
      <c r="C34" s="11" t="inlineStr">
        <is>
          <t>Informational</t>
        </is>
      </c>
      <c r="D34" s="12" t="n">
        <v>520</v>
      </c>
      <c r="E34" s="11" t="n">
        <v>2</v>
      </c>
      <c r="F34" s="15">
        <f>IF(D34&gt;0,E34/D34,0)</f>
        <v/>
      </c>
      <c r="G34" s="11" t="n">
        <v>25.8</v>
      </c>
      <c r="H34" s="11" t="inlineStr">
        <is>
          <t>21+</t>
        </is>
      </c>
      <c r="I34" s="11" t="inlineStr"/>
      <c r="J34" s="11" t="inlineStr">
        <is>
          <t>Content gap: new section or page</t>
        </is>
      </c>
      <c r="K34" s="15" t="n">
        <v>0.026</v>
      </c>
      <c r="L34" s="11">
        <f>MAX(0,ROUND(D34*K34-E34,0))</f>
        <v/>
      </c>
      <c r="M34" s="11">
        <f>IF(L34&gt;=20,"High",IF(L34&gt;=5,"Medium","Low"))</f>
        <v/>
      </c>
      <c r="N34" s="11" t="inlineStr"/>
    </row>
    <row r="35">
      <c r="A35" s="11" t="inlineStr">
        <is>
          <t>what colour epoxy floor hides dirt best</t>
        </is>
      </c>
      <c r="B35" s="11" t="inlineStr">
        <is>
          <t>T3</t>
        </is>
      </c>
      <c r="C35" s="11" t="inlineStr">
        <is>
          <t>Commercial</t>
        </is>
      </c>
      <c r="D35" s="12" t="n">
        <v>240</v>
      </c>
      <c r="E35" s="11" t="n">
        <v>2</v>
      </c>
      <c r="F35" s="15">
        <f>IF(D35&gt;0,E35/D35,0)</f>
        <v/>
      </c>
      <c r="G35" s="11" t="n">
        <v>15.5</v>
      </c>
      <c r="H35" s="11" t="inlineStr">
        <is>
          <t>11-20</t>
        </is>
      </c>
      <c r="I35" s="11" t="inlineStr"/>
      <c r="J35" s="11" t="inlineStr">
        <is>
          <t>Striking distance: expand + internal links</t>
        </is>
      </c>
      <c r="K35" s="15" t="n">
        <v>0.055</v>
      </c>
      <c r="L35" s="11">
        <f>MAX(0,ROUND(D35*K35-E35,0))</f>
        <v/>
      </c>
      <c r="M35" s="11">
        <f>IF(L35&gt;=20,"High",IF(L35&gt;=5,"Medium","Low"))</f>
        <v/>
      </c>
      <c r="N35" s="11" t="inlineStr"/>
    </row>
    <row r="36">
      <c r="A36" s="11" t="inlineStr">
        <is>
          <t>epoxy flooring cost for a 6x6 garage with crack repair included</t>
        </is>
      </c>
      <c r="B36" s="11" t="inlineStr">
        <is>
          <t>T1</t>
        </is>
      </c>
      <c r="C36" s="11" t="inlineStr">
        <is>
          <t>Transactional</t>
        </is>
      </c>
      <c r="D36" s="12" t="n">
        <v>140</v>
      </c>
      <c r="E36" s="11" t="n">
        <v>3</v>
      </c>
      <c r="F36" s="15">
        <f>IF(D36&gt;0,E36/D36,0)</f>
        <v/>
      </c>
      <c r="G36" s="11" t="n">
        <v>9.800000000000001</v>
      </c>
      <c r="H36" s="11" t="inlineStr">
        <is>
          <t>4-10</t>
        </is>
      </c>
      <c r="I36" s="11" t="inlineStr"/>
      <c r="J36" s="11" t="inlineStr">
        <is>
          <t>Answer upgrade</t>
        </is>
      </c>
      <c r="K36" s="15" t="n">
        <v>0.1</v>
      </c>
      <c r="L36" s="11">
        <f>MAX(0,ROUND(D36*K36-E36,0))</f>
        <v/>
      </c>
      <c r="M36" s="11">
        <f>IF(L36&gt;=20,"High",IF(L36&gt;=5,"Medium","Low"))</f>
        <v/>
      </c>
      <c r="N36" s="11" t="inlineStr"/>
    </row>
    <row r="37">
      <c r="A37" s="11" t="inlineStr">
        <is>
          <t>compare epoxy flooring companies on the gold coast</t>
        </is>
      </c>
      <c r="B37" s="11" t="inlineStr">
        <is>
          <t>T3</t>
        </is>
      </c>
      <c r="C37" s="11" t="inlineStr">
        <is>
          <t>Local</t>
        </is>
      </c>
      <c r="D37" s="12" t="n">
        <v>140</v>
      </c>
      <c r="E37" s="11" t="n">
        <v>3</v>
      </c>
      <c r="F37" s="15">
        <f>IF(D37&gt;0,E37/D37,0)</f>
        <v/>
      </c>
      <c r="G37" s="11" t="n">
        <v>8.199999999999999</v>
      </c>
      <c r="H37" s="11" t="inlineStr">
        <is>
          <t>4-10</t>
        </is>
      </c>
      <c r="I37" s="11" t="inlineStr"/>
      <c r="J37" s="11" t="inlineStr">
        <is>
          <t>Answer upgrade</t>
        </is>
      </c>
      <c r="K37" s="15" t="n">
        <v>0.1</v>
      </c>
      <c r="L37" s="11">
        <f>MAX(0,ROUND(D37*K37-E37,0))</f>
        <v/>
      </c>
      <c r="M37" s="11">
        <f>IF(L37&gt;=20,"High",IF(L37&gt;=5,"Medium","Low"))</f>
        <v/>
      </c>
      <c r="N37" s="11" t="inlineStr"/>
    </row>
    <row r="38">
      <c r="A38" s="11" t="inlineStr">
        <is>
          <t>what is commercial epoxy flooring used for</t>
        </is>
      </c>
      <c r="B38" s="11" t="inlineStr">
        <is>
          <t>T9</t>
        </is>
      </c>
      <c r="C38" s="11" t="inlineStr">
        <is>
          <t>Informational</t>
        </is>
      </c>
      <c r="D38" s="12" t="n">
        <v>210</v>
      </c>
      <c r="E38" s="11" t="n">
        <v>1</v>
      </c>
      <c r="F38" s="15">
        <f>IF(D38&gt;0,E38/D38,0)</f>
        <v/>
      </c>
      <c r="G38" s="11" t="n">
        <v>17.8</v>
      </c>
      <c r="H38" s="11" t="inlineStr">
        <is>
          <t>11-20</t>
        </is>
      </c>
      <c r="I38" s="11" t="inlineStr"/>
      <c r="J38" s="11" t="inlineStr">
        <is>
          <t>Striking distance: expand + internal links</t>
        </is>
      </c>
      <c r="K38" s="15" t="n">
        <v>0.055</v>
      </c>
      <c r="L38" s="11">
        <f>MAX(0,ROUND(D38*K38-E38,0))</f>
        <v/>
      </c>
      <c r="M38" s="11">
        <f>IF(L38&gt;=20,"High",IF(L38&gt;=5,"Medium","Low"))</f>
        <v/>
      </c>
      <c r="N38" s="11" t="inlineStr"/>
    </row>
    <row r="39">
      <c r="A39" s="11" t="inlineStr">
        <is>
          <t>i have cracks in my garage floor can i still get epoxy coating</t>
        </is>
      </c>
      <c r="B39" s="11" t="inlineStr">
        <is>
          <t>T5</t>
        </is>
      </c>
      <c r="C39" s="11" t="inlineStr">
        <is>
          <t>Informational</t>
        </is>
      </c>
      <c r="D39" s="12" t="n">
        <v>190</v>
      </c>
      <c r="E39" s="11" t="n">
        <v>1</v>
      </c>
      <c r="F39" s="15">
        <f>IF(D39&gt;0,E39/D39,0)</f>
        <v/>
      </c>
      <c r="G39" s="11" t="n">
        <v>15.2</v>
      </c>
      <c r="H39" s="11" t="inlineStr">
        <is>
          <t>11-20</t>
        </is>
      </c>
      <c r="I39" s="11" t="inlineStr"/>
      <c r="J39" s="11" t="inlineStr">
        <is>
          <t>Striking distance: expand + internal links</t>
        </is>
      </c>
      <c r="K39" s="15" t="n">
        <v>0.055</v>
      </c>
      <c r="L39" s="11">
        <f>MAX(0,ROUND(D39*K39-E39,0))</f>
        <v/>
      </c>
      <c r="M39" s="11">
        <f>IF(L39&gt;=20,"High",IF(L39&gt;=5,"Medium","Low"))</f>
        <v/>
      </c>
      <c r="N39" s="11" t="inlineStr"/>
    </row>
    <row r="40">
      <c r="A40" s="11" t="inlineStr">
        <is>
          <t>does epoxy flooring add value to a house when selling</t>
        </is>
      </c>
      <c r="B40" s="11" t="inlineStr">
        <is>
          <t>T10</t>
        </is>
      </c>
      <c r="C40" s="11" t="inlineStr">
        <is>
          <t>Informational</t>
        </is>
      </c>
      <c r="D40" s="12" t="n">
        <v>410</v>
      </c>
      <c r="E40" s="11" t="n">
        <v>2</v>
      </c>
      <c r="F40" s="15">
        <f>IF(D40&gt;0,E40/D40,0)</f>
        <v/>
      </c>
      <c r="G40" s="11" t="n">
        <v>23.7</v>
      </c>
      <c r="H40" s="11" t="inlineStr">
        <is>
          <t>21+</t>
        </is>
      </c>
      <c r="I40" s="11" t="inlineStr"/>
      <c r="J40" s="11" t="inlineStr">
        <is>
          <t>Content gap: new section or page</t>
        </is>
      </c>
      <c r="K40" s="15" t="n">
        <v>0.026</v>
      </c>
      <c r="L40" s="11">
        <f>MAX(0,ROUND(D40*K40-E40,0))</f>
        <v/>
      </c>
      <c r="M40" s="11">
        <f>IF(L40&gt;=20,"High",IF(L40&gt;=5,"Medium","Low"))</f>
        <v/>
      </c>
      <c r="N40" s="11" t="inlineStr"/>
    </row>
    <row r="41">
      <c r="A41" s="11" t="inlineStr">
        <is>
          <t>can you epoxy a pool deck or outdoor patio</t>
        </is>
      </c>
      <c r="B41" s="11" t="inlineStr">
        <is>
          <t>T7</t>
        </is>
      </c>
      <c r="C41" s="11" t="inlineStr">
        <is>
          <t>Informational</t>
        </is>
      </c>
      <c r="D41" s="12" t="n">
        <v>350</v>
      </c>
      <c r="E41" s="11" t="n">
        <v>1</v>
      </c>
      <c r="F41" s="15">
        <f>IF(D41&gt;0,E41/D41,0)</f>
        <v/>
      </c>
      <c r="G41" s="11" t="n">
        <v>31</v>
      </c>
      <c r="H41" s="11" t="inlineStr">
        <is>
          <t>21+</t>
        </is>
      </c>
      <c r="I41" s="11" t="inlineStr"/>
      <c r="J41" s="11" t="inlineStr">
        <is>
          <t>Content gap: new section or page</t>
        </is>
      </c>
      <c r="K41" s="15" t="n">
        <v>0.026</v>
      </c>
      <c r="L41" s="11">
        <f>MAX(0,ROUND(D41*K41-E41,0))</f>
        <v/>
      </c>
      <c r="M41" s="11">
        <f>IF(L41&gt;=20,"High",IF(L41&gt;=5,"Medium","Low"))</f>
        <v/>
      </c>
      <c r="N41" s="11" t="inlineStr"/>
    </row>
    <row r="42">
      <c r="A42" s="11" t="inlineStr">
        <is>
          <t>explain the steps of applying epoxy flooring</t>
        </is>
      </c>
      <c r="B42" s="11" t="inlineStr">
        <is>
          <t>T7</t>
        </is>
      </c>
      <c r="C42" s="11" t="inlineStr">
        <is>
          <t>Informational</t>
        </is>
      </c>
      <c r="D42" s="12" t="n">
        <v>160</v>
      </c>
      <c r="E42" s="11" t="n">
        <v>1</v>
      </c>
      <c r="F42" s="15">
        <f>IF(D42&gt;0,E42/D42,0)</f>
        <v/>
      </c>
      <c r="G42" s="11" t="n">
        <v>14.6</v>
      </c>
      <c r="H42" s="11" t="inlineStr">
        <is>
          <t>11-20</t>
        </is>
      </c>
      <c r="I42" s="11" t="inlineStr"/>
      <c r="J42" s="11" t="inlineStr">
        <is>
          <t>Striking distance: expand + internal links</t>
        </is>
      </c>
      <c r="K42" s="15" t="n">
        <v>0.055</v>
      </c>
      <c r="L42" s="11">
        <f>MAX(0,ROUND(D42*K42-E42,0))</f>
        <v/>
      </c>
      <c r="M42" s="11">
        <f>IF(L42&gt;=20,"High",IF(L42&gt;=5,"Medium","Low"))</f>
        <v/>
      </c>
      <c r="N42" s="11" t="inlineStr"/>
    </row>
    <row r="43">
      <c r="A43" s="11" t="inlineStr">
        <is>
          <t>should i choose epoxy or polished concrete for my house in a humid climate</t>
        </is>
      </c>
      <c r="B43" s="11" t="inlineStr">
        <is>
          <t>T8</t>
        </is>
      </c>
      <c r="C43" s="11" t="inlineStr">
        <is>
          <t>Informational</t>
        </is>
      </c>
      <c r="D43" s="12" t="n">
        <v>150</v>
      </c>
      <c r="E43" s="11" t="n">
        <v>1</v>
      </c>
      <c r="F43" s="15">
        <f>IF(D43&gt;0,E43/D43,0)</f>
        <v/>
      </c>
      <c r="G43" s="11" t="n">
        <v>19.6</v>
      </c>
      <c r="H43" s="11" t="inlineStr">
        <is>
          <t>11-20</t>
        </is>
      </c>
      <c r="I43" s="11" t="inlineStr"/>
      <c r="J43" s="11" t="inlineStr">
        <is>
          <t>Striking distance: expand + internal links</t>
        </is>
      </c>
      <c r="K43" s="15" t="n">
        <v>0.055</v>
      </c>
      <c r="L43" s="11">
        <f>MAX(0,ROUND(D43*K43-E43,0))</f>
        <v/>
      </c>
      <c r="M43" s="11">
        <f>IF(L43&gt;=20,"High",IF(L43&gt;=5,"Medium","Low"))</f>
        <v/>
      </c>
      <c r="N43" s="11" t="inlineStr"/>
    </row>
    <row r="44">
      <c r="A44" s="11" t="inlineStr">
        <is>
          <t>is metallic epoxy hard to maintain</t>
        </is>
      </c>
      <c r="B44" s="11" t="inlineStr">
        <is>
          <t>T4</t>
        </is>
      </c>
      <c r="C44" s="11" t="inlineStr">
        <is>
          <t>Informational</t>
        </is>
      </c>
      <c r="D44" s="12" t="n">
        <v>150</v>
      </c>
      <c r="E44" s="11" t="n">
        <v>1</v>
      </c>
      <c r="F44" s="15">
        <f>IF(D44&gt;0,E44/D44,0)</f>
        <v/>
      </c>
      <c r="G44" s="11" t="n">
        <v>19</v>
      </c>
      <c r="H44" s="11" t="inlineStr">
        <is>
          <t>11-20</t>
        </is>
      </c>
      <c r="I44" s="11" t="inlineStr"/>
      <c r="J44" s="11" t="inlineStr">
        <is>
          <t>Striking distance: expand + internal links</t>
        </is>
      </c>
      <c r="K44" s="15" t="n">
        <v>0.055</v>
      </c>
      <c r="L44" s="11">
        <f>MAX(0,ROUND(D44*K44-E44,0))</f>
        <v/>
      </c>
      <c r="M44" s="11">
        <f>IF(L44&gt;=20,"High",IF(L44&gt;=5,"Medium","Low"))</f>
        <v/>
      </c>
      <c r="N44" s="11" t="inlineStr"/>
    </row>
    <row r="45">
      <c r="A45" s="11" t="inlineStr">
        <is>
          <t>why is my epoxy floor peeling after one year</t>
        </is>
      </c>
      <c r="B45" s="11" t="inlineStr">
        <is>
          <t>T5</t>
        </is>
      </c>
      <c r="C45" s="11" t="inlineStr">
        <is>
          <t>Informational</t>
        </is>
      </c>
      <c r="D45" s="12" t="n">
        <v>270</v>
      </c>
      <c r="E45" s="11" t="n">
        <v>1</v>
      </c>
      <c r="F45" s="15">
        <f>IF(D45&gt;0,E45/D45,0)</f>
        <v/>
      </c>
      <c r="G45" s="11" t="n">
        <v>22</v>
      </c>
      <c r="H45" s="11" t="inlineStr">
        <is>
          <t>21+</t>
        </is>
      </c>
      <c r="I45" s="11" t="inlineStr"/>
      <c r="J45" s="11" t="inlineStr">
        <is>
          <t>Content gap: new section or page</t>
        </is>
      </c>
      <c r="K45" s="15" t="n">
        <v>0.026</v>
      </c>
      <c r="L45" s="11">
        <f>MAX(0,ROUND(D45*K45-E45,0))</f>
        <v/>
      </c>
      <c r="M45" s="11">
        <f>IF(L45&gt;=20,"High",IF(L45&gt;=5,"Medium","Low"))</f>
        <v/>
      </c>
      <c r="N45" s="11" t="inlineStr"/>
    </row>
    <row r="46">
      <c r="A46" s="11" t="inlineStr">
        <is>
          <t>recommend a good epoxy flooring installer near southport</t>
        </is>
      </c>
      <c r="B46" s="11" t="inlineStr">
        <is>
          <t>T3</t>
        </is>
      </c>
      <c r="C46" s="11" t="inlineStr">
        <is>
          <t>Local</t>
        </is>
      </c>
      <c r="D46" s="12" t="n">
        <v>90</v>
      </c>
      <c r="E46" s="11" t="n">
        <v>3</v>
      </c>
      <c r="F46" s="15">
        <f>IF(D46&gt;0,E46/D46,0)</f>
        <v/>
      </c>
      <c r="G46" s="11" t="n">
        <v>6.5</v>
      </c>
      <c r="H46" s="11" t="inlineStr">
        <is>
          <t>4-10</t>
        </is>
      </c>
      <c r="I46" s="11" t="inlineStr"/>
      <c r="J46" s="11" t="inlineStr">
        <is>
          <t>Answer upgrade</t>
        </is>
      </c>
      <c r="K46" s="15" t="n">
        <v>0.1</v>
      </c>
      <c r="L46" s="11">
        <f>MAX(0,ROUND(D46*K46-E46,0))</f>
        <v/>
      </c>
      <c r="M46" s="11">
        <f>IF(L46&gt;=20,"High",IF(L46&gt;=5,"Medium","Low"))</f>
        <v/>
      </c>
      <c r="N46" s="11" t="inlineStr"/>
    </row>
    <row r="47">
      <c r="A47" s="11" t="inlineStr">
        <is>
          <t>give me a checklist for preparing a garage floor for epoxy</t>
        </is>
      </c>
      <c r="B47" s="11" t="inlineStr">
        <is>
          <t>T7</t>
        </is>
      </c>
      <c r="C47" s="11" t="inlineStr">
        <is>
          <t>Informational</t>
        </is>
      </c>
      <c r="D47" s="12" t="n">
        <v>120</v>
      </c>
      <c r="E47" s="11" t="n">
        <v>1</v>
      </c>
      <c r="F47" s="15">
        <f>IF(D47&gt;0,E47/D47,0)</f>
        <v/>
      </c>
      <c r="G47" s="11" t="n">
        <v>18.1</v>
      </c>
      <c r="H47" s="11" t="inlineStr">
        <is>
          <t>11-20</t>
        </is>
      </c>
      <c r="I47" s="11" t="inlineStr"/>
      <c r="J47" s="11" t="inlineStr">
        <is>
          <t>Striking distance: expand + internal links</t>
        </is>
      </c>
      <c r="K47" s="15" t="n">
        <v>0.055</v>
      </c>
      <c r="L47" s="11">
        <f>MAX(0,ROUND(D47*K47-E47,0))</f>
        <v/>
      </c>
      <c r="M47" s="11">
        <f>IF(L47&gt;=20,"High",IF(L47&gt;=5,"Medium","Low"))</f>
        <v/>
      </c>
      <c r="N47" s="11" t="inlineStr"/>
    </row>
    <row r="48">
      <c r="A48" s="11" t="inlineStr">
        <is>
          <t>chatgpt epoxy garage floor cost australia</t>
        </is>
      </c>
      <c r="B48" s="11" t="inlineStr">
        <is>
          <t>T1</t>
        </is>
      </c>
      <c r="C48" s="11" t="inlineStr">
        <is>
          <t>Transactional</t>
        </is>
      </c>
      <c r="D48" s="12" t="n">
        <v>75</v>
      </c>
      <c r="E48" s="11" t="n">
        <v>2</v>
      </c>
      <c r="F48" s="15">
        <f>IF(D48&gt;0,E48/D48,0)</f>
        <v/>
      </c>
      <c r="G48" s="11" t="n">
        <v>9.9</v>
      </c>
      <c r="H48" s="11" t="inlineStr">
        <is>
          <t>4-10</t>
        </is>
      </c>
      <c r="I48" s="11" t="inlineStr"/>
      <c r="J48" s="11" t="inlineStr">
        <is>
          <t>Answer upgrade</t>
        </is>
      </c>
      <c r="K48" s="15" t="n">
        <v>0.1</v>
      </c>
      <c r="L48" s="11">
        <f>MAX(0,ROUND(D48*K48-E48,0))</f>
        <v/>
      </c>
      <c r="M48" s="11">
        <f>IF(L48&gt;=20,"High",IF(L48&gt;=5,"Medium","Low"))</f>
        <v/>
      </c>
      <c r="N48" s="11" t="inlineStr"/>
    </row>
    <row r="49">
      <c r="A49" s="11" t="inlineStr">
        <is>
          <t>https://openai.com/index/chatgpt/ best epoxy flooring company gold coast reviews</t>
        </is>
      </c>
      <c r="B49" s="11" t="inlineStr">
        <is>
          <t>T3</t>
        </is>
      </c>
      <c r="C49" s="11" t="inlineStr">
        <is>
          <t>Local</t>
        </is>
      </c>
      <c r="D49" s="12" t="n">
        <v>60</v>
      </c>
      <c r="E49" s="11" t="n">
        <v>1</v>
      </c>
      <c r="F49" s="15">
        <f>IF(D49&gt;0,E49/D49,0)</f>
        <v/>
      </c>
      <c r="G49" s="11" t="n">
        <v>7.4</v>
      </c>
      <c r="H49" s="11" t="inlineStr">
        <is>
          <t>4-10</t>
        </is>
      </c>
      <c r="I49" s="11" t="inlineStr"/>
      <c r="J49" s="11" t="inlineStr">
        <is>
          <t>Answer upgrade</t>
        </is>
      </c>
      <c r="K49" s="15" t="n">
        <v>0.1</v>
      </c>
      <c r="L49" s="11">
        <f>MAX(0,ROUND(D49*K49-E49,0))</f>
        <v/>
      </c>
      <c r="M49" s="11">
        <f>IF(L49&gt;=20,"High",IF(L49&gt;=5,"Medium","Low"))</f>
        <v/>
      </c>
      <c r="N49" s="11" t="inlineStr"/>
    </row>
    <row r="50">
      <c r="A50" s="11" t="inlineStr">
        <is>
          <t>does epoxy flooring meet food safety standards in australia</t>
        </is>
      </c>
      <c r="B50" s="11" t="inlineStr">
        <is>
          <t>T6</t>
        </is>
      </c>
      <c r="C50" s="11" t="inlineStr">
        <is>
          <t>Informational</t>
        </is>
      </c>
      <c r="D50" s="12" t="n">
        <v>180</v>
      </c>
      <c r="E50" s="11" t="n">
        <v>1</v>
      </c>
      <c r="F50" s="15">
        <f>IF(D50&gt;0,E50/D50,0)</f>
        <v/>
      </c>
      <c r="G50" s="11" t="n">
        <v>21.3</v>
      </c>
      <c r="H50" s="11" t="inlineStr">
        <is>
          <t>21+</t>
        </is>
      </c>
      <c r="I50" s="11" t="inlineStr"/>
      <c r="J50" s="11" t="inlineStr">
        <is>
          <t>Content gap: new section or page</t>
        </is>
      </c>
      <c r="K50" s="15" t="n">
        <v>0.026</v>
      </c>
      <c r="L50" s="11">
        <f>MAX(0,ROUND(D50*K50-E50,0))</f>
        <v/>
      </c>
      <c r="M50" s="11">
        <f>IF(L50&gt;=20,"High",IF(L50&gt;=5,"Medium","Low"))</f>
        <v/>
      </c>
      <c r="N50" s="11" t="inlineStr"/>
    </row>
    <row r="51">
      <c r="A51" s="11" t="inlineStr">
        <is>
          <t>i want a durable garage floor that looks good and is easy to clean what are my options</t>
        </is>
      </c>
      <c r="B51" s="11" t="inlineStr">
        <is>
          <t>T4</t>
        </is>
      </c>
      <c r="C51" s="11" t="inlineStr">
        <is>
          <t>Informational</t>
        </is>
      </c>
      <c r="D51" s="12" t="n">
        <v>85</v>
      </c>
      <c r="E51" s="11" t="n">
        <v>1</v>
      </c>
      <c r="F51" s="15">
        <f>IF(D51&gt;0,E51/D51,0)</f>
        <v/>
      </c>
      <c r="G51" s="11" t="n">
        <v>12.9</v>
      </c>
      <c r="H51" s="11" t="inlineStr">
        <is>
          <t>11-20</t>
        </is>
      </c>
      <c r="I51" s="11" t="inlineStr"/>
      <c r="J51" s="11" t="inlineStr">
        <is>
          <t>Striking distance: expand + internal links</t>
        </is>
      </c>
      <c r="K51" s="15" t="n">
        <v>0.055</v>
      </c>
      <c r="L51" s="11">
        <f>MAX(0,ROUND(D51*K51-E51,0))</f>
        <v/>
      </c>
      <c r="M51" s="11">
        <f>IF(L51&gt;=20,"High",IF(L51&gt;=5,"Medium","Low"))</f>
        <v/>
      </c>
      <c r="N51" s="11" t="inlineStr"/>
    </row>
  </sheetData>
  <autoFilter ref="A1:N51"/>
  <conditionalFormatting sqref="M2:M51">
    <cfRule type="cellIs" priority="1" operator="equal" dxfId="0">
      <formula>"High"</formula>
    </cfRule>
    <cfRule type="cellIs" priority="2" operator="equal" dxfId="1">
      <formula>"Medium"</formula>
    </cfRule>
    <cfRule type="cellIs" priority="3" operator="equal" dxfId="2">
      <formula>"Low"</formula>
    </cfRule>
  </conditionalFormatting>
  <pageMargins left="0.75" right="0.75" top="1" bottom="1" header="0.5" footer="0.5"/>
</worksheet>
</file>

<file path=xl/worksheets/sheet6.xml><?xml version="1.0" encoding="utf-8"?>
<worksheet xmlns="http://schemas.openxmlformats.org/spreadsheetml/2006/main">
  <sheetPr>
    <tabColor rgb="0034D399"/>
    <outlinePr summaryBelow="1" summaryRight="1"/>
    <pageSetUpPr/>
  </sheetPr>
  <dimension ref="A1:P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9" customWidth="1" min="3" max="3"/>
    <col width="34" customWidth="1" min="4" max="4"/>
    <col width="16" customWidth="1" min="5" max="5"/>
    <col width="44" customWidth="1" min="6" max="6"/>
    <col width="60" customWidth="1" min="7" max="7"/>
    <col width="7" customWidth="1" min="8" max="8"/>
    <col width="40" customWidth="1" min="9" max="9"/>
    <col width="60" customWidth="1" min="10" max="10"/>
    <col width="50" customWidth="1" min="11" max="11"/>
    <col width="16" customWidth="1" min="12" max="12"/>
    <col width="40" customWidth="1" min="13" max="13"/>
    <col width="44" customWidth="1" min="14" max="14"/>
    <col width="30" customWidth="1" min="15" max="15"/>
    <col width="11" customWidth="1" min="16" max="16"/>
  </cols>
  <sheetData>
    <row r="1" ht="32" customHeight="1">
      <c r="A1" s="10" t="inlineStr">
        <is>
          <t>Topic</t>
        </is>
      </c>
      <c r="B1" s="10" t="inlineStr">
        <is>
          <t>Topic name</t>
        </is>
      </c>
      <c r="C1" s="10" t="inlineStr">
        <is>
          <t>Priority</t>
        </is>
      </c>
      <c r="D1" s="10" t="inlineStr">
        <is>
          <t>Target URL</t>
        </is>
      </c>
      <c r="E1" s="10" t="inlineStr">
        <is>
          <t>Page action</t>
        </is>
      </c>
      <c r="F1" s="10" t="inlineStr">
        <is>
          <t>Diagnosis</t>
        </is>
      </c>
      <c r="G1" s="10" t="inlineStr">
        <is>
          <t>Answer-first block (40-60 words)</t>
        </is>
      </c>
      <c r="H1" s="10" t="inlineStr">
        <is>
          <t>Words</t>
        </is>
      </c>
      <c r="I1" s="10" t="inlineStr">
        <is>
          <t>Question headings</t>
        </is>
      </c>
      <c r="J1" s="10" t="inlineStr">
        <is>
          <t>FAQ</t>
        </is>
      </c>
      <c r="K1" s="10" t="inlineStr">
        <is>
          <t>Table / steps / list</t>
        </is>
      </c>
      <c r="L1" s="10" t="inlineStr">
        <is>
          <t>Schema</t>
        </is>
      </c>
      <c r="M1" s="10" t="inlineStr">
        <is>
          <t>Internal links</t>
        </is>
      </c>
      <c r="N1" s="10" t="inlineStr">
        <is>
          <t>Off-site actions</t>
        </is>
      </c>
      <c r="O1" s="10" t="inlineStr">
        <is>
          <t>Check before publishing</t>
        </is>
      </c>
      <c r="P1" s="10" t="inlineStr">
        <is>
          <t>Status</t>
        </is>
      </c>
    </row>
    <row r="2" ht="150" customHeight="1">
      <c r="A2" s="11" t="inlineStr">
        <is>
          <t>T1</t>
        </is>
      </c>
      <c r="B2" s="11" t="inlineStr">
        <is>
          <t>Cost &amp; price</t>
        </is>
      </c>
      <c r="C2" s="23" t="inlineStr">
        <is>
          <t>High</t>
        </is>
      </c>
      <c r="D2" s="11" t="inlineStr">
        <is>
          <t>https://www.coastlineepoxy.example/epoxy-flooring-cost/</t>
        </is>
      </c>
      <c r="E2" s="11" t="inlineStr">
        <is>
          <t>Update existing page</t>
        </is>
      </c>
      <c r="F2" s="25" t="inlineStr">
        <is>
          <t>8 cost questions, 6,755 impressions, average position 7.5. 'How much does epoxy flooring cost per square metre' ranks 3rd with CTR well under the expected rate (AI Overview likely). The page shows a price table but no sentence that answers the question on its own, so the summary quotes competitors.</t>
        </is>
      </c>
      <c r="G2" s="25" t="inlineStr">
        <is>
          <t>Epoxy flooring on the Gold Coast usually costs [$X-$Y] per square metre installed. A standard double garage (about 36 m²) runs [$A-$B] for a flake system. Price depends mostly on floor condition: crack repair, moisture treatment and grinding add [$C-$D]. Metallic finishes cost more than flake.</t>
        </is>
      </c>
      <c r="H2" s="11">
        <f>IF(LEN(TRIM(G2))=0,0,LEN(TRIM(G2))-LEN(SUBSTITUTE(TRIM(G2)," ",""))+1)</f>
        <v/>
      </c>
      <c r="I2" s="25" t="inlineStr">
        <is>
          <t>- How much does epoxy flooring cost per square metre?
- How much does it cost to epoxy a double garage?
- Why is epoxy flooring so expensive?
- What is the cheapest way to resurface a garage floor?</t>
        </is>
      </c>
      <c r="J2" s="25" t="inlineStr">
        <is>
          <t>Q: Why is epoxy flooring so expensive?
A: Most of the cost is preparation: diamond grinding, crack repair and moisture testing, then two to three coats with cure time between them. Cheap jobs skip the prep, which is why they peel.
Q: Is there a cheaper option than epoxy?
A: Concrete paint or a DIY kit costs less up front but usually lasts [1-3] years in a garage that gets driven on. A professional flake system lasts [10-15+] years.</t>
        </is>
      </c>
      <c r="K2" s="25" t="inlineStr">
        <is>
          <t>| Garage size | Flake system | Metallic | Crack repair |
| Single (18 m²) | [$] | [$] | from [$] |
| Double (36 m²) | [$] | [$] | from [$] |
| Triple (54 m²) | [$] | [$] | from [$] |</t>
        </is>
      </c>
      <c r="L2" s="25" t="inlineStr">
        <is>
          <t>Service, FAQPage, LocalBusiness</t>
        </is>
      </c>
      <c r="M2" s="25" t="inlineStr">
        <is>
          <t>- From /epoxy-garage-floors/ with anchor 'epoxy garage floor cost'
- From /blog/diy-epoxy-vs-professional/ with anchor 'what a professional job costs'</t>
        </is>
      </c>
      <c r="N2" s="25" t="inlineStr">
        <is>
          <t>- Add a price range to the Google Business Profile services list
- Pitch the price table to Gold Coast home-improvement roundups that AI cites for cost questions</t>
        </is>
      </c>
      <c r="O2" s="26" t="inlineStr">
        <is>
          <t>Confirm every price range [$X-$Y], [$A-$B], [$C-$D] and the lifespan years with the owner before publishing.</t>
        </is>
      </c>
      <c r="P2" s="11" t="inlineStr">
        <is>
          <t>To do</t>
        </is>
      </c>
    </row>
    <row r="3" ht="150" customHeight="1">
      <c r="A3" s="11" t="inlineStr">
        <is>
          <t>T2</t>
        </is>
      </c>
      <c r="B3" s="11" t="inlineStr">
        <is>
          <t>How long / timing</t>
        </is>
      </c>
      <c r="C3" s="23" t="inlineStr">
        <is>
          <t>High</t>
        </is>
      </c>
      <c r="D3" s="11" t="inlineStr">
        <is>
          <t>https://www.coastlineepoxy.example/epoxy-garage-floors/</t>
        </is>
      </c>
      <c r="E3" s="11" t="inlineStr">
        <is>
          <t>Update existing page</t>
        </is>
      </c>
      <c r="F3" s="25" t="inlineStr">
        <is>
          <t>Lifespan and cure-time questions rank 2-4 (4,200 impressions) but 'how long does epoxy garage floor last' gets a small share of the clicks its position should earn: the AI Overview answers it. The page mentions durability only in a bullet list.</t>
        </is>
      </c>
      <c r="G3" s="25" t="inlineStr">
        <is>
          <t>A professionally installed epoxy garage floor lasts [10-20] years in a Queensland home garage; DIY kits usually last [1-3]. Lifespan depends on surface preparation, coating thickness and UV exposure near the door. You can walk on a new floor after [24] hours and park a car after [72] hours.</t>
        </is>
      </c>
      <c r="H3" s="11">
        <f>IF(LEN(TRIM(G3))=0,0,LEN(TRIM(G3))-LEN(SUBSTITUTE(TRIM(G3)," ",""))+1)</f>
        <v/>
      </c>
      <c r="I3" s="25" t="inlineStr">
        <is>
          <t>- How long does an epoxy garage floor last?
- How long after epoxy can I drive on it?
- How long does epoxy take to cure before parking a car?</t>
        </is>
      </c>
      <c r="J3" s="25" t="inlineStr">
        <is>
          <t>Q: Does Queensland heat shorten epoxy life?
A: Heat itself doesn't, but direct sun on standard epoxy can yellow it. A UV-stable topcoat on the first metre inside the door prevents that.</t>
        </is>
      </c>
      <c r="K3" s="25" t="inlineStr">
        <is>
          <t>1. Day 0: install finished
2. Day 1: light foot traffic
3. Day 3: park cars
4. Day 7: full chemical resistance</t>
        </is>
      </c>
      <c r="L3" s="25" t="inlineStr">
        <is>
          <t>Service, FAQPage</t>
        </is>
      </c>
      <c r="M3" s="25" t="inlineStr">
        <is>
          <t>- From the homepage 'Garage floors' card with anchor 'how long epoxy lasts'</t>
        </is>
      </c>
      <c r="N3" s="25" t="inlineStr">
        <is>
          <t>- Answer the 'how long does garage epoxy last' threads on r/AusRenovation with your real numbers</t>
        </is>
      </c>
      <c r="O3" s="26" t="inlineStr">
        <is>
          <t>Confirm lifespan years and cure hours for the products used.</t>
        </is>
      </c>
      <c r="P3" s="11" t="inlineStr">
        <is>
          <t>To do</t>
        </is>
      </c>
    </row>
    <row r="4" ht="150" customHeight="1">
      <c r="A4" s="11" t="inlineStr">
        <is>
          <t>T3</t>
        </is>
      </c>
      <c r="B4" s="11" t="inlineStr">
        <is>
          <t>Choosing &amp; comparing: company</t>
        </is>
      </c>
      <c r="C4" s="23" t="inlineStr">
        <is>
          <t>High</t>
        </is>
      </c>
      <c r="D4" s="11" t="inlineStr">
        <is>
          <t>https://www.coastlineepoxy.example/epoxy-garage-floors/</t>
        </is>
      </c>
      <c r="E4" s="11" t="inlineStr">
        <is>
          <t>New section</t>
        </is>
      </c>
      <c r="F4" s="25" t="inlineStr">
        <is>
          <t>Ten 'is it worth it / which is best / what's the difference' prompts with 5,840 impressions at position 10. AI answers these with shortlists and comparison tables; the site has no comparison block and the 'company' prompts show buyers asking AI to compare installers.</t>
        </is>
      </c>
      <c r="G4" s="25" t="inlineStr">
        <is>
          <t>Epoxy is worth it for most garages that get daily car traffic: it resists oil and tyre marks, cleans in minutes and lasts [10-20] years. It's not worth it on floors with rising damp unless moisture is treated first. For the same budget, polyaspartic cures faster; polished concrete suits living areas.</t>
        </is>
      </c>
      <c r="H4" s="11">
        <f>IF(LEN(TRIM(G4))=0,0,LEN(TRIM(G4))-LEN(SUBSTITUTE(TRIM(G4)," ",""))+1)</f>
        <v/>
      </c>
      <c r="I4" s="25" t="inlineStr">
        <is>
          <t>- Is epoxy flooring worth it for a garage?
- What is the best epoxy for garage floors?
- Epoxy vs polyaspartic: what's the difference?
- How do I compare epoxy flooring companies on the Gold Coast?</t>
        </is>
      </c>
      <c r="J4" s="25" t="inlineStr">
        <is>
          <t>Q: What should I ask an epoxy installer before hiring?
A: Ask how they prepare the slab (grinding, not acid etching), the coating thickness, the warranty in writing and for three recent local jobs you can see.</t>
        </is>
      </c>
      <c r="K4" s="25" t="inlineStr">
        <is>
          <t>| | Epoxy flake | Polyaspartic | Polished concrete |
| Lifespan | [ ] | [ ] | [ ] |
| Cure time | [ ] | [ ] | [ ] |
| Price per m² | [ ] | [ ] | [ ] |
| Best for | Garages | Fast turnaround | Living areas |</t>
        </is>
      </c>
      <c r="L4" s="25" t="inlineStr">
        <is>
          <t>FAQPage</t>
        </is>
      </c>
      <c r="M4" s="25" t="inlineStr">
        <is>
          <t>- From /blog/epoxy-vs-polished-concrete/ with anchor 'epoxy vs polyaspartic'</t>
        </is>
      </c>
      <c r="N4" s="25" t="inlineStr">
        <is>
          <t>- Get onto the 'best epoxy flooring Gold Coast' lists and directories that AI cites for these prompts
- Ask recent customers for reviews that mention garage, lifespan and price</t>
        </is>
      </c>
      <c r="O4" s="26" t="inlineStr">
        <is>
          <t>Fill the comparison table with figures you can stand behind.</t>
        </is>
      </c>
      <c r="P4" s="11" t="inlineStr">
        <is>
          <t>To do</t>
        </is>
      </c>
    </row>
    <row r="5" ht="150" customHeight="1">
      <c r="A5" s="11" t="inlineStr">
        <is>
          <t>T4</t>
        </is>
      </c>
      <c r="B5" s="11" t="inlineStr">
        <is>
          <t>Cleaning &amp; care</t>
        </is>
      </c>
      <c r="C5" s="24" t="inlineStr">
        <is>
          <t>Medium</t>
        </is>
      </c>
      <c r="D5" s="11" t="inlineStr">
        <is>
          <t>https://www.coastlineepoxy.example/blog/how-to-clean-epoxy-floors/</t>
        </is>
      </c>
      <c r="E5" s="11" t="inlineStr">
        <is>
          <t>Update existing page</t>
        </is>
      </c>
      <c r="F5" s="25" t="inlineStr">
        <is>
          <t>Cleaning questions rank 3-8. The post is a long story before the method; AI needs the method in the first lines.</t>
        </is>
      </c>
      <c r="G5" s="25" t="inlineStr">
        <is>
          <t>Clean an epoxy garage floor with a soft mop, warm water and a pH-neutral cleaner. Sweep grit first, mop, then rinse so no film is left behind. Avoid vinegar, citrus and bleach-based cleaners on a regular basis: they dull the topcoat. Lift tyre marks with a degreaser and soft brush.</t>
        </is>
      </c>
      <c r="H5" s="11">
        <f>IF(LEN(TRIM(G5))=0,0,LEN(TRIM(G5))-LEN(SUBSTITUTE(TRIM(G5)," ",""))+1)</f>
        <v/>
      </c>
      <c r="I5" s="25" t="inlineStr">
        <is>
          <t>- How do you clean an epoxy garage floor?
- Can I use vinegar to clean my epoxy floor?
- How do I remove tyre marks from epoxy?
- What should you not use on epoxy floors?</t>
        </is>
      </c>
      <c r="J5" s="25" t="inlineStr"/>
      <c r="K5" s="25" t="inlineStr">
        <is>
          <t>Do: soft mop, pH-neutral cleaner, rinse
Don't: vinegar, citrus, steel wool, steam mops</t>
        </is>
      </c>
      <c r="L5" s="25" t="inlineStr">
        <is>
          <t>Article</t>
        </is>
      </c>
      <c r="M5" s="25" t="inlineStr">
        <is>
          <t>- From /epoxy-garage-floors/ 'After care' section</t>
        </is>
      </c>
      <c r="N5" s="25" t="inlineStr"/>
      <c r="O5" s="26" t="inlineStr">
        <is>
          <t>Confirm which cleaners the coating supplier approves.</t>
        </is>
      </c>
      <c r="P5" s="11" t="inlineStr">
        <is>
          <t>To do</t>
        </is>
      </c>
    </row>
    <row r="6" ht="150" customHeight="1">
      <c r="A6" s="11" t="inlineStr">
        <is>
          <t>T5</t>
        </is>
      </c>
      <c r="B6" s="11" t="inlineStr">
        <is>
          <t>Problems &amp; fixes: concrete</t>
        </is>
      </c>
      <c r="C6" s="24" t="inlineStr">
        <is>
          <t>Medium</t>
        </is>
      </c>
      <c r="D6" s="11" t="inlineStr">
        <is>
          <t>https://www.coastlineepoxy.example/epoxy-garage-floors/</t>
        </is>
      </c>
      <c r="E6" s="11" t="inlineStr">
        <is>
          <t>New section</t>
        </is>
      </c>
      <c r="F6" s="25" t="inlineStr">
        <is>
          <t>Crack and peeling prompts sit at position 14 on average: the site never explains crack repair or why DIY epoxy peels. Long first-person prompts ('I have cracks in my garage floor...') show real worry before buying.</t>
        </is>
      </c>
      <c r="G6" s="25" t="inlineStr">
        <is>
          <t>Yes, epoxy can go over cracked concrete, but the cracks must be repaired first. Hairline cracks are filled with an epoxy or polyurea filler; moving cracks need a flexible joint so they don't telegraph through. Most peeling comes from skipped grinding or moisture, not the epoxy itself, so prep matters most.</t>
        </is>
      </c>
      <c r="H6" s="11">
        <f>IF(LEN(TRIM(G6))=0,0,LEN(TRIM(G6))-LEN(SUBSTITUTE(TRIM(G6)," ",""))+1)</f>
        <v/>
      </c>
      <c r="I6" s="25" t="inlineStr">
        <is>
          <t>- Can you put epoxy over cracked concrete?
- Should I fix cracks in concrete before epoxy?
- Why does DIY epoxy peel off garage floors?</t>
        </is>
      </c>
      <c r="J6" s="25" t="inlineStr">
        <is>
          <t>Q: Why is my epoxy floor peeling after one year?
A: Usually moisture coming up through the slab or a coating applied without grinding. It can be fixed, but the failed coating must be ground off first.</t>
        </is>
      </c>
      <c r="K6" s="25" t="inlineStr">
        <is>
          <t>1. Moisture test the slab
2. Diamond grind
3. Fill and level cracks
4. Prime
5. Base coat + flake
6. UV-stable topcoat</t>
        </is>
      </c>
      <c r="L6" s="25" t="inlineStr">
        <is>
          <t>HowTo-style steps as an HTML list</t>
        </is>
      </c>
      <c r="M6" s="25" t="inlineStr">
        <is>
          <t>- From /blog/diy-epoxy-vs-professional/ with anchor 'how we fix cracks before coating'</t>
        </is>
      </c>
      <c r="N6" s="25" t="inlineStr">
        <is>
          <t>- Before/after photos of crack repair on Google Business Profile</t>
        </is>
      </c>
      <c r="O6" s="26" t="inlineStr">
        <is>
          <t>Add 2-3 real before/after photos with location and date.</t>
        </is>
      </c>
      <c r="P6" s="11" t="inlineStr">
        <is>
          <t>To do</t>
        </is>
      </c>
    </row>
    <row r="7" ht="150" customHeight="1">
      <c r="A7" s="11" t="inlineStr">
        <is>
          <t>T6</t>
        </is>
      </c>
      <c r="B7" s="11" t="inlineStr">
        <is>
          <t>Safety &amp; standards</t>
        </is>
      </c>
      <c r="C7" s="24" t="inlineStr">
        <is>
          <t>Medium</t>
        </is>
      </c>
      <c r="D7" s="11" t="inlineStr">
        <is>
          <t>https://www.coastlineepoxy.example/flake-epoxy-flooring/</t>
        </is>
      </c>
      <c r="E7" s="11" t="inlineStr">
        <is>
          <t>New section</t>
        </is>
      </c>
      <c r="F7" s="25" t="inlineStr">
        <is>
          <t>Slip and safety questions (1,910 impressions, position 14). Commercial buyers ask about food-safety standards; nothing on the site answers them.</t>
        </is>
      </c>
      <c r="G7" s="25" t="inlineStr">
        <is>
          <t>Epoxy can be slippery when wet if it has a smooth high-gloss finish. A flake system or an anti-slip additive in the topcoat gives a textured surface that grips well wet or dry. Once fully cured, epoxy is inert and not considered toxic; the fumes only matter during installation and curing.</t>
        </is>
      </c>
      <c r="H7" s="11">
        <f>IF(LEN(TRIM(G7))=0,0,LEN(TRIM(G7))-LEN(SUBSTITUTE(TRIM(G7)," ",""))+1)</f>
        <v/>
      </c>
      <c r="I7" s="25" t="inlineStr">
        <is>
          <t>- Is epoxy flooring slippery when wet?
- How do I make my epoxy floor less slippery?
- Is epoxy flooring toxic once cured?</t>
        </is>
      </c>
      <c r="J7" s="25" t="inlineStr">
        <is>
          <t>Q: Does epoxy flooring meet food safety standards in Australia?
A: Some commercial systems are rated for food areas. Ask for the product's data sheet and slip rating [rating] before you buy.</t>
        </is>
      </c>
      <c r="K7" s="25" t="inlineStr"/>
      <c r="L7" s="25" t="inlineStr">
        <is>
          <t>FAQPage</t>
        </is>
      </c>
      <c r="M7" s="25" t="inlineStr">
        <is>
          <t>- From /commercial-epoxy-flooring/ with anchor 'slip-resistant epoxy'</t>
        </is>
      </c>
      <c r="N7" s="25" t="inlineStr"/>
      <c r="O7" s="26" t="inlineStr">
        <is>
          <t>Confirm slip ratings and food-safety certifications for the actual products before naming them.</t>
        </is>
      </c>
      <c r="P7" s="11" t="inlineStr">
        <is>
          <t>To do</t>
        </is>
      </c>
    </row>
    <row r="8" ht="150" customHeight="1">
      <c r="A8" s="11" t="inlineStr">
        <is>
          <t>T7</t>
        </is>
      </c>
      <c r="B8" s="11" t="inlineStr">
        <is>
          <t>General epoxy questions</t>
        </is>
      </c>
      <c r="C8" s="24" t="inlineStr">
        <is>
          <t>Medium</t>
        </is>
      </c>
      <c r="D8" s="11" t="inlineStr">
        <is>
          <t>https://www.coastlineepoxy.example/epoxy-garage-floors/</t>
        </is>
      </c>
      <c r="E8" s="11" t="inlineStr">
        <is>
          <t>New section</t>
        </is>
      </c>
      <c r="F8" s="25" t="inlineStr">
        <is>
          <t>Application questions (over tiles, pool decks, thickness) rank 21+: the topic isn't covered anywhere.</t>
        </is>
      </c>
      <c r="G8" s="25" t="inlineStr">
        <is>
          <t>Epoxy can go over tiles that are firmly bonded, once the glaze is ground back and the grout lines are filled, but tiles that move will crack the coating. Outdoor pool decks need a UV-stable, slip-resistant system rather than standard epoxy. A garage floor coating is usually [X-Y] microns thick.</t>
        </is>
      </c>
      <c r="H8" s="11">
        <f>IF(LEN(TRIM(G8))=0,0,LEN(TRIM(G8))-LEN(SUBSTITUTE(TRIM(G8)," ",""))+1)</f>
        <v/>
      </c>
      <c r="I8" s="25" t="inlineStr">
        <is>
          <t>- Can epoxy be applied over tiles?
- Can you epoxy a pool deck or outdoor patio?
- How thick should an epoxy garage floor be?</t>
        </is>
      </c>
      <c r="J8" s="25" t="inlineStr"/>
      <c r="K8" s="25" t="inlineStr"/>
      <c r="L8" s="25" t="inlineStr">
        <is>
          <t>FAQPage</t>
        </is>
      </c>
      <c r="M8" s="25" t="inlineStr"/>
      <c r="N8" s="25" t="inlineStr"/>
      <c r="O8" s="26" t="inlineStr">
        <is>
          <t>Confirm the thickness range and whether the business does outdoor work at all.</t>
        </is>
      </c>
      <c r="P8" s="11" t="inlineStr">
        <is>
          <t>To do</t>
        </is>
      </c>
    </row>
    <row r="9" ht="150" customHeight="1">
      <c r="A9" s="11" t="inlineStr">
        <is>
          <t>T8</t>
        </is>
      </c>
      <c r="B9" s="11" t="inlineStr">
        <is>
          <t>Concrete: polished</t>
        </is>
      </c>
      <c r="C9" s="24" t="inlineStr">
        <is>
          <t>Medium</t>
        </is>
      </c>
      <c r="D9" s="11" t="inlineStr">
        <is>
          <t>https://www.coastlineepoxy.example/blog/epoxy-vs-polished-concrete/</t>
        </is>
      </c>
      <c r="E9" s="11" t="inlineStr">
        <is>
          <t>Update existing page</t>
        </is>
      </c>
      <c r="F9" s="25" t="inlineStr">
        <is>
          <t>Two long comparison prompts at position 11. The post compares looks but not climate or humidity, which the prompts ask about.</t>
        </is>
      </c>
      <c r="G9" s="25" t="inlineStr">
        <is>
          <t>For a garage, epoxy usually beats polished concrete: it seals out oil and is easier to clean. For living areas in a humid climate like the Gold Coast, polished concrete breathes better and won't trap moisture. Epoxy costs less on garages; polished concrete suits large open-plan homes and needs resealing every [X] years.</t>
        </is>
      </c>
      <c r="H9" s="11">
        <f>IF(LEN(TRIM(G9))=0,0,LEN(TRIM(G9))-LEN(SUBSTITUTE(TRIM(G9)," ",""))+1)</f>
        <v/>
      </c>
      <c r="I9" s="25" t="inlineStr">
        <is>
          <t>- Is polished concrete better than epoxy for a home?
- Epoxy or polished concrete in a humid climate?</t>
        </is>
      </c>
      <c r="J9" s="25" t="inlineStr"/>
      <c r="K9" s="25" t="inlineStr"/>
      <c r="L9" s="25" t="inlineStr">
        <is>
          <t>Article</t>
        </is>
      </c>
      <c r="M9" s="25" t="inlineStr">
        <is>
          <t>- From /epoxy-flooring-cost/ with anchor 'epoxy vs polished concrete cost'</t>
        </is>
      </c>
      <c r="N9" s="25" t="inlineStr"/>
      <c r="O9" s="26" t="inlineStr">
        <is>
          <t>Confirm resealing interval.</t>
        </is>
      </c>
      <c r="P9" s="11" t="inlineStr">
        <is>
          <t>To do</t>
        </is>
      </c>
    </row>
    <row r="10" ht="150" customHeight="1">
      <c r="A10" s="11" t="inlineStr">
        <is>
          <t>T9</t>
        </is>
      </c>
      <c r="B10" s="11" t="inlineStr">
        <is>
          <t>Commercial</t>
        </is>
      </c>
      <c r="C10" s="17" t="inlineStr">
        <is>
          <t>Low</t>
        </is>
      </c>
      <c r="D10" s="11" t="inlineStr"/>
      <c r="E10" s="11" t="inlineStr"/>
      <c r="F10" s="25" t="inlineStr"/>
      <c r="G10" s="25" t="inlineStr"/>
      <c r="H10" s="11">
        <f>IF(LEN(TRIM(G10))=0,0,LEN(TRIM(G10))-LEN(SUBSTITUTE(TRIM(G10)," ",""))+1)</f>
        <v/>
      </c>
      <c r="I10" s="25" t="inlineStr"/>
      <c r="J10" s="25" t="inlineStr"/>
      <c r="K10" s="25" t="inlineStr"/>
      <c r="L10" s="25" t="inlineStr"/>
      <c r="M10" s="25" t="inlineStr"/>
      <c r="N10" s="25" t="inlineStr"/>
      <c r="O10" s="26" t="inlineStr"/>
      <c r="P10" s="11" t="inlineStr">
        <is>
          <t>To do</t>
        </is>
      </c>
    </row>
    <row r="11" ht="150" customHeight="1">
      <c r="A11" s="11" t="inlineStr">
        <is>
          <t>T10</t>
        </is>
      </c>
      <c r="B11" s="11" t="inlineStr">
        <is>
          <t>Other AI-style queries</t>
        </is>
      </c>
      <c r="C11" s="17" t="inlineStr">
        <is>
          <t>Low</t>
        </is>
      </c>
      <c r="D11" s="11" t="inlineStr"/>
      <c r="E11" s="11" t="inlineStr"/>
      <c r="F11" s="25" t="inlineStr"/>
      <c r="G11" s="25" t="inlineStr"/>
      <c r="H11" s="11">
        <f>IF(LEN(TRIM(G11))=0,0,LEN(TRIM(G11))-LEN(SUBSTITUTE(TRIM(G11)," ",""))+1)</f>
        <v/>
      </c>
      <c r="I11" s="25" t="inlineStr"/>
      <c r="J11" s="25" t="inlineStr"/>
      <c r="K11" s="25" t="inlineStr"/>
      <c r="L11" s="25" t="inlineStr"/>
      <c r="M11" s="25" t="inlineStr"/>
      <c r="N11" s="25" t="inlineStr"/>
      <c r="O11" s="26" t="inlineStr"/>
      <c r="P11" s="11" t="inlineStr">
        <is>
          <t>To do</t>
        </is>
      </c>
    </row>
  </sheetData>
  <autoFilter ref="A1:P11"/>
  <conditionalFormatting sqref="P2:P11">
    <cfRule type="cellIs" priority="1" operator="equal" dxfId="3">
      <formula>"Done"</formula>
    </cfRule>
  </conditionalFormatting>
  <conditionalFormatting sqref="H2:H11">
    <cfRule type="expression" priority="2" dxfId="0">
      <formula>AND(H2&gt;0,OR(H2&lt;40,H2&gt;60))</formula>
    </cfRule>
  </conditionalFormatting>
  <dataValidations count="1">
    <dataValidation sqref="P2:P11" showDropDown="0" showInputMessage="0" showErrorMessage="0" allowBlank="1" type="list">
      <formula1>"To do,In progress,Done,Skipped"</formula1>
    </dataValidation>
  </dataValidations>
  <pageMargins left="0.75" right="0.75" top="1" bottom="1" header="0.5" footer="0.5"/>
</worksheet>
</file>

<file path=xl/worksheets/sheet7.xml><?xml version="1.0" encoding="utf-8"?>
<worksheet xmlns="http://schemas.openxmlformats.org/spreadsheetml/2006/main">
  <sheetPr>
    <tabColor rgb="0034D399"/>
    <outlinePr summaryBelow="1" summaryRight="1"/>
    <pageSetUpPr/>
  </sheetPr>
  <dimension ref="A1:I1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60" customWidth="1" min="3" max="3"/>
    <col width="50" customWidth="1" min="4" max="4"/>
    <col width="9" customWidth="1" min="5" max="5"/>
    <col width="9" customWidth="1" min="6" max="6"/>
    <col width="14" customWidth="1" min="7" max="7"/>
    <col width="11" customWidth="1" min="8" max="8"/>
    <col width="12" customWidth="1" min="9" max="9"/>
  </cols>
  <sheetData>
    <row r="1">
      <c r="A1" s="1" t="inlineStr">
        <is>
          <t>AI visibility plan</t>
        </is>
      </c>
    </row>
    <row r="2">
      <c r="A2" s="2" t="inlineStr">
        <is>
          <t>Fastest route first: unblock, fix the biggest leaks, then build and compound. Amber = yours to fill in.</t>
        </is>
      </c>
    </row>
    <row r="4" ht="32" customHeight="1">
      <c r="A4" s="10" t="inlineStr">
        <is>
          <t>When</t>
        </is>
      </c>
      <c r="B4" s="10" t="inlineStr">
        <is>
          <t>Type</t>
        </is>
      </c>
      <c r="C4" s="10" t="inlineStr">
        <is>
          <t>Action</t>
        </is>
      </c>
      <c r="D4" s="10" t="inlineStr">
        <is>
          <t>Why / KPI</t>
        </is>
      </c>
      <c r="E4" s="10" t="inlineStr">
        <is>
          <t>Effort</t>
        </is>
      </c>
      <c r="F4" s="10" t="inlineStr">
        <is>
          <t>Impact</t>
        </is>
      </c>
      <c r="G4" s="10" t="inlineStr">
        <is>
          <t>Owner</t>
        </is>
      </c>
      <c r="H4" s="10" t="inlineStr">
        <is>
          <t>Status</t>
        </is>
      </c>
      <c r="I4" s="10" t="inlineStr">
        <is>
          <t>Date done</t>
        </is>
      </c>
    </row>
    <row r="5">
      <c r="A5" s="11" t="inlineStr">
        <is>
          <t>Days 1-7</t>
        </is>
      </c>
      <c r="B5" s="11" t="inlineStr">
        <is>
          <t>Quick win</t>
        </is>
      </c>
      <c r="C5" s="25" t="inlineStr">
        <is>
          <t>Check robots.txt and the Cloudflare bot settings: allow OAI-SearchBot, ChatGPT-User, PerplexityBot, Claude-SearchBot and Bingbot</t>
        </is>
      </c>
      <c r="D5" s="25" t="inlineStr">
        <is>
          <t>Blocked crawlers can't cite you; this takes 15 minutes</t>
        </is>
      </c>
      <c r="E5" s="11" t="inlineStr">
        <is>
          <t>Low</t>
        </is>
      </c>
      <c r="F5" s="11" t="inlineStr">
        <is>
          <t>High</t>
        </is>
      </c>
      <c r="G5" s="26" t="inlineStr"/>
      <c r="H5" s="11" t="inlineStr">
        <is>
          <t>To do</t>
        </is>
      </c>
      <c r="I5" s="26" t="inlineStr"/>
    </row>
    <row r="6">
      <c r="A6" s="11" t="inlineStr">
        <is>
          <t>Days 1-7</t>
        </is>
      </c>
      <c r="B6" s="11" t="inlineStr">
        <is>
          <t>Quick win</t>
        </is>
      </c>
      <c r="C6" s="25" t="inlineStr">
        <is>
          <t>Verify the site in Bing Webmaster Tools (import from GSC) and switch on IndexNow</t>
        </is>
      </c>
      <c r="D6" s="25" t="inlineStr">
        <is>
          <t>Several AI assistants lean on Bing's index; IndexNow pushes every update within minutes</t>
        </is>
      </c>
      <c r="E6" s="11" t="inlineStr">
        <is>
          <t>Low</t>
        </is>
      </c>
      <c r="F6" s="11" t="inlineStr">
        <is>
          <t>High</t>
        </is>
      </c>
      <c r="G6" s="26" t="inlineStr"/>
      <c r="H6" s="11" t="inlineStr">
        <is>
          <t>To do</t>
        </is>
      </c>
      <c r="I6" s="26" t="inlineStr"/>
    </row>
    <row r="7">
      <c r="A7" s="11" t="inlineStr">
        <is>
          <t>Days 1-7</t>
        </is>
      </c>
      <c r="B7" s="11" t="inlineStr">
        <is>
          <t>Quick win</t>
        </is>
      </c>
      <c r="C7" s="25" t="inlineStr">
        <is>
          <t>Add the T1 and T2 answer blocks + question headings to the cost and garage pages, then request indexing</t>
        </is>
      </c>
      <c r="D7" s="25" t="inlineStr">
        <is>
          <t>Top-3 rankings with low CTR: AI answers already pull from these pages, so a quotable passage can turn rankings into citations</t>
        </is>
      </c>
      <c r="E7" s="11" t="inlineStr">
        <is>
          <t>Low</t>
        </is>
      </c>
      <c r="F7" s="11" t="inlineStr">
        <is>
          <t>High</t>
        </is>
      </c>
      <c r="G7" s="26" t="inlineStr"/>
      <c r="H7" s="11" t="inlineStr">
        <is>
          <t>To do</t>
        </is>
      </c>
      <c r="I7" s="26" t="inlineStr"/>
    </row>
    <row r="8">
      <c r="A8" s="11" t="inlineStr">
        <is>
          <t>Days 1-7</t>
        </is>
      </c>
      <c r="B8" s="11" t="inlineStr">
        <is>
          <t>Quick win</t>
        </is>
      </c>
      <c r="C8" s="25" t="inlineStr">
        <is>
          <t>Rewrite the cost page title to promise the specific answer: 'Epoxy Flooring Cost Gold Coast: m² Prices + Real Jobs'</t>
        </is>
      </c>
      <c r="D8" s="25" t="inlineStr">
        <is>
          <t>AIO-flagged queries need a reason to click beyond the summary</t>
        </is>
      </c>
      <c r="E8" s="11" t="inlineStr">
        <is>
          <t>Low</t>
        </is>
      </c>
      <c r="F8" s="11" t="inlineStr">
        <is>
          <t>Medium</t>
        </is>
      </c>
      <c r="G8" s="26" t="inlineStr"/>
      <c r="H8" s="11" t="inlineStr">
        <is>
          <t>To do</t>
        </is>
      </c>
      <c r="I8" s="26" t="inlineStr"/>
    </row>
    <row r="9">
      <c r="A9" s="11" t="inlineStr">
        <is>
          <t>Days 1-7</t>
        </is>
      </c>
      <c r="B9" s="11" t="inlineStr">
        <is>
          <t>Quick win</t>
        </is>
      </c>
      <c r="C9" s="25" t="inlineStr">
        <is>
          <t>Save the master regex as a GSC filter and note this report's baseline (impressions, clicks, CTR)</t>
        </is>
      </c>
      <c r="D9" s="25" t="inlineStr">
        <is>
          <t>Monthly comparison shows what moved</t>
        </is>
      </c>
      <c r="E9" s="11" t="inlineStr">
        <is>
          <t>Low</t>
        </is>
      </c>
      <c r="F9" s="11" t="inlineStr">
        <is>
          <t>Medium</t>
        </is>
      </c>
      <c r="G9" s="26" t="inlineStr"/>
      <c r="H9" s="11" t="inlineStr">
        <is>
          <t>To do</t>
        </is>
      </c>
      <c r="I9" s="26" t="inlineStr"/>
    </row>
    <row r="10">
      <c r="A10" s="11" t="inlineStr">
        <is>
          <t>Days 8-30</t>
        </is>
      </c>
      <c r="B10" s="11" t="inlineStr">
        <is>
          <t>Plan</t>
        </is>
      </c>
      <c r="C10" s="25" t="inlineStr">
        <is>
          <t>Publish the full plans for T3-T6: comparison table, crack-repair steps, safety section, FAQ blocks with schema</t>
        </is>
      </c>
      <c r="D10" s="25" t="inlineStr">
        <is>
          <t>AI-style impressions on those pages; position of the top query per topic</t>
        </is>
      </c>
      <c r="E10" s="11" t="inlineStr">
        <is>
          <t>Medium</t>
        </is>
      </c>
      <c r="F10" s="11" t="inlineStr">
        <is>
          <t>High</t>
        </is>
      </c>
      <c r="G10" s="26" t="inlineStr"/>
      <c r="H10" s="11" t="inlineStr">
        <is>
          <t>To do</t>
        </is>
      </c>
      <c r="I10" s="26" t="inlineStr"/>
    </row>
    <row r="11">
      <c r="A11" s="11" t="inlineStr">
        <is>
          <t>Days 8-30</t>
        </is>
      </c>
      <c r="B11" s="11" t="inlineStr">
        <is>
          <t>Plan</t>
        </is>
      </c>
      <c r="C11" s="25" t="inlineStr">
        <is>
          <t>Outreach to the 'best epoxy flooring Gold Coast' lists and directories that AI cites for T3 prompts</t>
        </is>
      </c>
      <c r="D11" s="25" t="inlineStr">
        <is>
          <t>Number of cited sources that mention the brand</t>
        </is>
      </c>
      <c r="E11" s="11" t="inlineStr">
        <is>
          <t>Medium</t>
        </is>
      </c>
      <c r="F11" s="11" t="inlineStr">
        <is>
          <t>High</t>
        </is>
      </c>
      <c r="G11" s="26" t="inlineStr"/>
      <c r="H11" s="11" t="inlineStr">
        <is>
          <t>To do</t>
        </is>
      </c>
      <c r="I11" s="26" t="inlineStr"/>
    </row>
    <row r="12">
      <c r="A12" s="11" t="inlineStr">
        <is>
          <t>Days 8-30</t>
        </is>
      </c>
      <c r="B12" s="11" t="inlineStr">
        <is>
          <t>Plan</t>
        </is>
      </c>
      <c r="C12" s="25" t="inlineStr">
        <is>
          <t>Monthly prompt check: ask the top query of T1-T3 in ChatGPT, Perplexity, Gemini and Google AI Mode; log who is cited</t>
        </is>
      </c>
      <c r="D12" s="25" t="inlineStr">
        <is>
          <t>Cited yes/no per platform</t>
        </is>
      </c>
      <c r="E12" s="11" t="inlineStr">
        <is>
          <t>Low</t>
        </is>
      </c>
      <c r="F12" s="11" t="inlineStr">
        <is>
          <t>Medium</t>
        </is>
      </c>
      <c r="G12" s="26" t="inlineStr"/>
      <c r="H12" s="11" t="inlineStr">
        <is>
          <t>To do</t>
        </is>
      </c>
      <c r="I12" s="26" t="inlineStr"/>
    </row>
    <row r="13">
      <c r="A13" s="11" t="inlineStr">
        <is>
          <t>Days 31-90</t>
        </is>
      </c>
      <c r="B13" s="11" t="inlineStr">
        <is>
          <t>Plan</t>
        </is>
      </c>
      <c r="C13" s="25" t="inlineStr">
        <is>
          <t>Publish a small price survey: 'What 50 Gold Coast garage floors actually cost' from your own jobs</t>
        </is>
      </c>
      <c r="D13" s="25" t="inlineStr">
        <is>
          <t>Backlinks and citations to the survey</t>
        </is>
      </c>
      <c r="E13" s="11" t="inlineStr">
        <is>
          <t>High</t>
        </is>
      </c>
      <c r="F13" s="11" t="inlineStr">
        <is>
          <t>High</t>
        </is>
      </c>
      <c r="G13" s="26" t="inlineStr"/>
      <c r="H13" s="11" t="inlineStr">
        <is>
          <t>To do</t>
        </is>
      </c>
      <c r="I13" s="26" t="inlineStr"/>
    </row>
    <row r="14">
      <c r="A14" s="11" t="inlineStr">
        <is>
          <t>Days 31-90</t>
        </is>
      </c>
      <c r="B14" s="11" t="inlineStr">
        <is>
          <t>Plan</t>
        </is>
      </c>
      <c r="C14" s="25" t="inlineStr">
        <is>
          <t>Re-pull the master regex in GSC, compare with this baseline and move effort to the topics that grew</t>
        </is>
      </c>
      <c r="D14" s="25" t="inlineStr">
        <is>
          <t>AI-style clicks and CTR vs baseline</t>
        </is>
      </c>
      <c r="E14" s="11" t="inlineStr">
        <is>
          <t>Low</t>
        </is>
      </c>
      <c r="F14" s="11" t="inlineStr">
        <is>
          <t>Medium</t>
        </is>
      </c>
      <c r="G14" s="26" t="inlineStr"/>
      <c r="H14" s="11" t="inlineStr">
        <is>
          <t>To do</t>
        </is>
      </c>
      <c r="I14" s="26" t="inlineStr"/>
    </row>
    <row r="16">
      <c r="A16" s="8" t="inlineStr">
        <is>
          <t>How to measure it</t>
        </is>
      </c>
    </row>
    <row r="17">
      <c r="A17" t="inlineStr">
        <is>
          <t>-</t>
        </is>
      </c>
      <c r="C17" s="9" t="inlineStr">
        <is>
          <t>GSC: master regex filter, last 28 days vs this baseline - AI-style impressions, clicks, CTR</t>
        </is>
      </c>
    </row>
    <row r="18">
      <c r="A18" t="inlineStr">
        <is>
          <t>-</t>
        </is>
      </c>
      <c r="C18" s="9" t="inlineStr">
        <is>
          <t>GA4 &gt; Traffic acquisition &gt; Session source matches regex chatgpt\.com|openai|perplexity|gemini\.google|copilot|claude\.ai</t>
        </is>
      </c>
    </row>
    <row r="19">
      <c r="A19" t="inlineStr">
        <is>
          <t>-</t>
        </is>
      </c>
      <c r="C19" s="9" t="inlineStr">
        <is>
          <t>Prompt log: top query of T1-T3 asked monthly in ChatGPT, Perplexity, Gemini and AI Mode - cited yes/no, competitors cited</t>
        </is>
      </c>
    </row>
  </sheetData>
  <autoFilter ref="A4:I14"/>
  <conditionalFormatting sqref="H5:H14">
    <cfRule type="cellIs" priority="1" operator="equal" dxfId="3">
      <formula>"Done"</formula>
    </cfRule>
  </conditionalFormatting>
  <conditionalFormatting sqref="E5:E14">
    <cfRule type="cellIs" priority="2" operator="equal" dxfId="0">
      <formula>"High"</formula>
    </cfRule>
    <cfRule type="cellIs" priority="3" operator="equal" dxfId="1">
      <formula>"Medium"</formula>
    </cfRule>
    <cfRule type="cellIs" priority="4" operator="equal" dxfId="2">
      <formula>"Low"</formula>
    </cfRule>
  </conditionalFormatting>
  <conditionalFormatting sqref="F5:F14">
    <cfRule type="cellIs" priority="5" operator="equal" dxfId="0">
      <formula>"High"</formula>
    </cfRule>
    <cfRule type="cellIs" priority="6" operator="equal" dxfId="1">
      <formula>"Medium"</formula>
    </cfRule>
    <cfRule type="cellIs" priority="7" operator="equal" dxfId="2">
      <formula>"Low"</formula>
    </cfRule>
  </conditionalFormatting>
  <dataValidations count="1">
    <dataValidation sqref="H5:H14" showDropDown="0" showInputMessage="0" showErrorMessage="0" allowBlank="1" type="list">
      <formula1>"To do,In progress,Done,Skipped"</formula1>
    </dataValidation>
  </dataValidations>
  <pageMargins left="0.75" right="0.75" top="1" bottom="1" header="0.5" footer="0.5"/>
</worksheet>
</file>

<file path=xl/worksheets/sheet8.xml><?xml version="1.0" encoding="utf-8"?>
<worksheet xmlns="http://schemas.openxmlformats.org/spreadsheetml/2006/main">
  <sheetPr>
    <tabColor rgb="006B7280"/>
    <outlinePr summaryBelow="1" summaryRight="1"/>
    <pageSetUpPr/>
  </sheetPr>
  <dimension ref="A1:B17"/>
  <sheetViews>
    <sheetView showGridLines="0" workbookViewId="0">
      <selection activeCell="A1" sqref="A1"/>
    </sheetView>
  </sheetViews>
  <sheetFormatPr baseColWidth="8" defaultRowHeight="15"/>
  <cols>
    <col width="34" customWidth="1" min="1" max="1"/>
    <col width="100" customWidth="1" min="2" max="2"/>
  </cols>
  <sheetData>
    <row r="1">
      <c r="A1" s="1" t="inlineStr">
        <is>
          <t>Method &amp; notes</t>
        </is>
      </c>
    </row>
    <row r="2">
      <c r="A2" s="2" t="inlineStr">
        <is>
          <t>Built with ai-queries-finder by Akif Qureshi | SEO Specialist - algoblueprints.com</t>
        </is>
      </c>
    </row>
    <row r="4">
      <c r="A4" s="27" t="inlineStr">
        <is>
          <t>Date range</t>
        </is>
      </c>
      <c r="B4" s="9" t="inlineStr">
        <is>
          <t>Last 3 months (23 Jul - 21 Oct 2026)</t>
        </is>
      </c>
    </row>
    <row r="5">
      <c r="A5" s="27" t="inlineStr">
        <is>
          <t>Search type</t>
        </is>
      </c>
      <c r="B5" s="9" t="inlineStr">
        <is>
          <t>Web</t>
        </is>
      </c>
    </row>
    <row r="6">
      <c r="A6" s="27" t="inlineStr">
        <is>
          <t>Rows read</t>
        </is>
      </c>
      <c r="B6" s="9" t="n">
        <v>58</v>
      </c>
    </row>
    <row r="7">
      <c r="A7" s="27" t="inlineStr">
        <is>
          <t>AI-style threshold</t>
        </is>
      </c>
      <c r="B7" s="9" t="inlineStr">
        <is>
          <t>AI score &gt;= 30 (tiers: High &gt;= 50, Medium &gt;= 30)</t>
        </is>
      </c>
    </row>
    <row r="8">
      <c r="A8" s="27" t="inlineStr">
        <is>
          <t>Minimum impressions</t>
        </is>
      </c>
      <c r="B8" s="9" t="n">
        <v>1</v>
      </c>
    </row>
    <row r="9">
      <c r="A9" s="27" t="inlineStr">
        <is>
          <t>Brand terms excluded from topics</t>
        </is>
      </c>
      <c r="B9" s="9" t="inlineStr">
        <is>
          <t>coastline epoxy, coastline</t>
        </is>
      </c>
    </row>
    <row r="10">
      <c r="A10" s="27" t="inlineStr">
        <is>
          <t>Locations (local intent)</t>
        </is>
      </c>
      <c r="B10" s="9" t="inlineStr">
        <is>
          <t>gold coast, southport, queensland, brisbane</t>
        </is>
      </c>
    </row>
    <row r="11">
      <c r="A11" s="27" t="inlineStr">
        <is>
          <t>AI score</t>
        </is>
      </c>
      <c r="B11" s="9" t="inlineStr">
        <is>
          <t>Sum of the weights of every regex family the query matches, capped at 100 (see Regex Library).</t>
        </is>
      </c>
    </row>
    <row r="12">
      <c r="A12" s="27" t="inlineStr">
        <is>
          <t>Topics</t>
        </is>
      </c>
      <c r="B12" s="9" t="inlineStr">
        <is>
          <t>Each AI-style, non-brand query joins the topic of its most common meaningful word across all AI-style queries. Words used by only one query go to 'Other'.</t>
        </is>
      </c>
    </row>
    <row r="13">
      <c r="A13" s="27" t="inlineStr">
        <is>
          <t>Position buckets</t>
        </is>
      </c>
      <c r="B13" s="9" t="inlineStr">
        <is>
          <t>Top 3 / 4-10 / 11-20 / 21+ by average position.</t>
        </is>
      </c>
    </row>
    <row r="14">
      <c r="A14" s="27" t="inlineStr">
        <is>
          <t>AI Overview likely</t>
        </is>
      </c>
      <c r="B14" s="9" t="inlineStr">
        <is>
          <t>Position &lt;= 5 and CTR below 40% of the expected CTR for that position: the answer is probably being summarised above the results. A signal, not proof.</t>
        </is>
      </c>
    </row>
    <row r="15">
      <c r="A15" s="27" t="inlineStr">
        <is>
          <t>Est. extra clicks</t>
        </is>
      </c>
      <c r="B15" s="9" t="inlineStr">
        <is>
          <t>Impressions x expected CTR at the target position (1 for top 3, 3 for 4-10, 5 for 11-20, 8 for 21+) minus current clicks. Conservative curve: 25% / 15% / 10% / 7% / 5.5% for 1-5.</t>
        </is>
      </c>
    </row>
    <row r="16">
      <c r="A16" s="27" t="inlineStr">
        <is>
          <t>What GSC can't tell you</t>
        </is>
      </c>
      <c r="B16" s="9" t="inlineStr">
        <is>
          <t>Search Console doesn't label AI Mode, AI Overview or assistant traffic. These queries are found by their shape (length, phrasing, intent), so treat the list as the best available proxy. Very rare queries are anonymised by Google and never appear in the table.</t>
        </is>
      </c>
    </row>
    <row r="17">
      <c r="A17" s="27" t="inlineStr">
        <is>
          <t>1,000-row cap</t>
        </is>
      </c>
      <c r="B17" s="9" t="inlineStr">
        <is>
          <t>The GSC interface shows up to 1,000 rows per table. Run single regex families, or the API, for the full long 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2026-10-22T12:21:35Z</dcterms:created>
  <dcterms:modified xsi:type="dcterms:W3CDTF">2026-10-22T12:21:35Z</dcterms:modified>
</cp:coreProperties>
</file>